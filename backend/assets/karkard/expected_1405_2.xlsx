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/>
  <mc:AlternateContent xmlns:mc="http://schemas.openxmlformats.org/markup-compatibility/2006">
    <mc:Choice Requires="x15">
      <x15ac:absPath xmlns:x15ac="http://schemas.microsoft.com/office/spreadsheetml/2010/11/ac" url="F:\توسعه کارآفرینی سوره\بک آپ جابجایی به ساختمان فلسطین\E\حقوق و دستمزد\حقوق و فیش حقوقی\1405\2.405\"/>
    </mc:Choice>
  </mc:AlternateContent>
  <xr:revisionPtr revIDLastSave="0" documentId="13_ncr:1_{F57CE21C-CFF4-4EBE-9D43-D61C55171CA7}" xr6:coauthVersionLast="47" xr6:coauthVersionMax="47" xr10:uidLastSave="{00000000-0000-0000-0000-000000000000}"/>
  <bookViews>
    <workbookView xWindow="-120" yWindow="-120" windowWidth="29040" windowHeight="15720" tabRatio="500" firstSheet="8" activeTab="14" xr2:uid="{00000000-000D-0000-FFFF-FFFF00000000}"/>
  </bookViews>
  <sheets>
    <sheet name="الهه فاطمی" sheetId="1" r:id="rId1"/>
    <sheet name="مهدی چشمه کبودی" sheetId="2" r:id="rId2"/>
    <sheet name="حمید محمدپور نشرودکل" sheetId="3" r:id="rId3"/>
    <sheet name="محمدسجاد زارع میرک آباد" sheetId="4" r:id="rId4"/>
    <sheet name="محمدصابر نیک نام" sheetId="5" r:id="rId5"/>
    <sheet name="سمیرا نورشرق" sheetId="6" r:id="rId6"/>
    <sheet name="معروف فتحی" sheetId="7" r:id="rId7"/>
    <sheet name="حمید سوری" sheetId="8" r:id="rId8"/>
    <sheet name="محمدحسین پناهی" sheetId="10" r:id="rId9"/>
    <sheet name="مجید هادوی" sheetId="11" r:id="rId10"/>
    <sheet name="مهدی آزانباری" sheetId="12" r:id="rId11"/>
    <sheet name="زهرا پاشایی" sheetId="13" r:id="rId12"/>
    <sheet name="غلامرضا رحیمی" sheetId="15" r:id="rId13"/>
    <sheet name="عاطفه ناجی" sheetId="16" r:id="rId14"/>
    <sheet name="کارکرد کلی1405.2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4" i="5" l="1"/>
  <c r="R34" i="5"/>
  <c r="Q34" i="5"/>
  <c r="N34" i="5"/>
  <c r="H39" i="5" s="1"/>
  <c r="M34" i="5"/>
  <c r="L34" i="5"/>
  <c r="H38" i="5" s="1"/>
  <c r="H34" i="5"/>
  <c r="G34" i="5"/>
  <c r="D34" i="5"/>
  <c r="I32" i="5"/>
  <c r="I31" i="5"/>
  <c r="I30" i="5"/>
  <c r="I29" i="5"/>
  <c r="I28" i="5"/>
  <c r="I27" i="5"/>
  <c r="I25" i="5"/>
  <c r="I24" i="5"/>
  <c r="I23" i="5"/>
  <c r="I22" i="5"/>
  <c r="I21" i="5"/>
  <c r="I20" i="5"/>
  <c r="I18" i="5"/>
  <c r="I17" i="5"/>
  <c r="I16" i="5"/>
  <c r="I15" i="5"/>
  <c r="I14" i="5"/>
  <c r="I13" i="5"/>
  <c r="I11" i="5"/>
  <c r="I10" i="5"/>
  <c r="I9" i="5"/>
  <c r="I8" i="5"/>
  <c r="I7" i="5"/>
  <c r="J6" i="5"/>
  <c r="I6" i="5"/>
  <c r="K6" i="5" s="1"/>
  <c r="I4" i="5"/>
  <c r="I3" i="5"/>
  <c r="H9" i="17"/>
  <c r="F9" i="17"/>
  <c r="S34" i="16"/>
  <c r="J19" i="17" s="1"/>
  <c r="R34" i="16"/>
  <c r="I19" i="17" s="1"/>
  <c r="Q34" i="16"/>
  <c r="H19" i="17" s="1"/>
  <c r="N34" i="16"/>
  <c r="M34" i="16"/>
  <c r="L34" i="16"/>
  <c r="H34" i="16"/>
  <c r="G34" i="16"/>
  <c r="D34" i="16"/>
  <c r="I32" i="16"/>
  <c r="I31" i="16"/>
  <c r="I30" i="16"/>
  <c r="I29" i="16"/>
  <c r="I27" i="16"/>
  <c r="I25" i="16"/>
  <c r="I24" i="16"/>
  <c r="I23" i="16"/>
  <c r="I22" i="16"/>
  <c r="I21" i="16"/>
  <c r="I20" i="16"/>
  <c r="I18" i="16"/>
  <c r="I17" i="16"/>
  <c r="I16" i="16"/>
  <c r="I15" i="16"/>
  <c r="I14" i="16"/>
  <c r="I11" i="16"/>
  <c r="I10" i="16"/>
  <c r="I9" i="16"/>
  <c r="I8" i="16"/>
  <c r="I7" i="16"/>
  <c r="I6" i="16"/>
  <c r="I4" i="16"/>
  <c r="I3" i="16"/>
  <c r="S34" i="15"/>
  <c r="J18" i="17" s="1"/>
  <c r="R34" i="15"/>
  <c r="I18" i="17" s="1"/>
  <c r="Q34" i="15"/>
  <c r="H18" i="17" s="1"/>
  <c r="N34" i="15"/>
  <c r="M34" i="15"/>
  <c r="L34" i="15"/>
  <c r="H34" i="15"/>
  <c r="G34" i="15"/>
  <c r="D34" i="15"/>
  <c r="I32" i="15"/>
  <c r="I31" i="15"/>
  <c r="I30" i="15"/>
  <c r="I29" i="15"/>
  <c r="I28" i="15"/>
  <c r="I27" i="15"/>
  <c r="I25" i="15"/>
  <c r="I34" i="15" s="1"/>
  <c r="K24" i="15"/>
  <c r="I24" i="15"/>
  <c r="J24" i="15" s="1"/>
  <c r="I23" i="15"/>
  <c r="I22" i="15"/>
  <c r="I21" i="15"/>
  <c r="I20" i="15"/>
  <c r="I18" i="15"/>
  <c r="I17" i="15"/>
  <c r="I16" i="15"/>
  <c r="I15" i="15"/>
  <c r="I14" i="15"/>
  <c r="I13" i="15"/>
  <c r="I11" i="15"/>
  <c r="I10" i="15"/>
  <c r="I9" i="15"/>
  <c r="I8" i="15"/>
  <c r="I7" i="15"/>
  <c r="I6" i="15"/>
  <c r="I4" i="15"/>
  <c r="I3" i="15"/>
  <c r="S34" i="13"/>
  <c r="J17" i="17" s="1"/>
  <c r="R34" i="13"/>
  <c r="I17" i="17" s="1"/>
  <c r="Q34" i="13"/>
  <c r="H17" i="17" s="1"/>
  <c r="N34" i="13"/>
  <c r="M34" i="13"/>
  <c r="L34" i="13"/>
  <c r="H34" i="13"/>
  <c r="G34" i="13"/>
  <c r="D34" i="13"/>
  <c r="I32" i="13"/>
  <c r="I31" i="13"/>
  <c r="I30" i="13"/>
  <c r="I29" i="13"/>
  <c r="I28" i="13"/>
  <c r="I27" i="13"/>
  <c r="I25" i="13"/>
  <c r="I24" i="13"/>
  <c r="I23" i="13"/>
  <c r="I22" i="13"/>
  <c r="I21" i="13"/>
  <c r="I20" i="13"/>
  <c r="I18" i="13"/>
  <c r="I17" i="13"/>
  <c r="I16" i="13"/>
  <c r="I15" i="13"/>
  <c r="I14" i="13"/>
  <c r="I13" i="13"/>
  <c r="I11" i="13"/>
  <c r="I10" i="13"/>
  <c r="I9" i="13"/>
  <c r="I8" i="13"/>
  <c r="I7" i="13"/>
  <c r="I6" i="13"/>
  <c r="I4" i="13"/>
  <c r="I3" i="13"/>
  <c r="S34" i="12"/>
  <c r="J16" i="17" s="1"/>
  <c r="R34" i="12"/>
  <c r="I16" i="17" s="1"/>
  <c r="Q34" i="12"/>
  <c r="H16" i="17" s="1"/>
  <c r="N34" i="12"/>
  <c r="M34" i="12"/>
  <c r="L34" i="12"/>
  <c r="H34" i="12"/>
  <c r="G34" i="12"/>
  <c r="D34" i="12"/>
  <c r="I32" i="12"/>
  <c r="I31" i="12"/>
  <c r="I30" i="12"/>
  <c r="I29" i="12"/>
  <c r="K28" i="12"/>
  <c r="I28" i="12"/>
  <c r="J28" i="12" s="1"/>
  <c r="I27" i="12"/>
  <c r="I25" i="12"/>
  <c r="I24" i="12"/>
  <c r="I23" i="12"/>
  <c r="I22" i="12"/>
  <c r="I21" i="12"/>
  <c r="I20" i="12"/>
  <c r="I18" i="12"/>
  <c r="I17" i="12"/>
  <c r="I16" i="12"/>
  <c r="I15" i="12"/>
  <c r="I14" i="12"/>
  <c r="I13" i="12"/>
  <c r="I11" i="12"/>
  <c r="I10" i="12"/>
  <c r="I9" i="12"/>
  <c r="I8" i="12"/>
  <c r="I7" i="12"/>
  <c r="I6" i="12"/>
  <c r="I4" i="12"/>
  <c r="I3" i="12"/>
  <c r="S34" i="11"/>
  <c r="J15" i="17" s="1"/>
  <c r="R34" i="11"/>
  <c r="I15" i="17" s="1"/>
  <c r="Q34" i="11"/>
  <c r="H15" i="17" s="1"/>
  <c r="N34" i="11"/>
  <c r="M34" i="11"/>
  <c r="L34" i="11"/>
  <c r="H34" i="11"/>
  <c r="G34" i="11"/>
  <c r="D34" i="11"/>
  <c r="I32" i="11"/>
  <c r="I31" i="11"/>
  <c r="I30" i="11"/>
  <c r="I29" i="11"/>
  <c r="I28" i="11"/>
  <c r="I27" i="11"/>
  <c r="I25" i="11"/>
  <c r="I24" i="11"/>
  <c r="I23" i="11"/>
  <c r="I22" i="11"/>
  <c r="I21" i="11"/>
  <c r="I20" i="11"/>
  <c r="I18" i="11"/>
  <c r="I17" i="11"/>
  <c r="I16" i="11"/>
  <c r="I15" i="11"/>
  <c r="I14" i="11"/>
  <c r="I13" i="11"/>
  <c r="I11" i="11"/>
  <c r="I10" i="11"/>
  <c r="I9" i="11"/>
  <c r="I8" i="11"/>
  <c r="I7" i="11"/>
  <c r="I6" i="11"/>
  <c r="I4" i="11"/>
  <c r="I3" i="11"/>
  <c r="S34" i="10"/>
  <c r="J14" i="17" s="1"/>
  <c r="R34" i="10"/>
  <c r="I14" i="17" s="1"/>
  <c r="Q34" i="10"/>
  <c r="H14" i="17" s="1"/>
  <c r="N34" i="10"/>
  <c r="M34" i="10"/>
  <c r="L34" i="10"/>
  <c r="H34" i="10"/>
  <c r="G34" i="10"/>
  <c r="D34" i="10"/>
  <c r="I32" i="10"/>
  <c r="I31" i="10"/>
  <c r="K30" i="10"/>
  <c r="I30" i="10"/>
  <c r="J30" i="10" s="1"/>
  <c r="I29" i="10"/>
  <c r="I28" i="10"/>
  <c r="I27" i="10"/>
  <c r="I25" i="10"/>
  <c r="I24" i="10"/>
  <c r="I23" i="10"/>
  <c r="I22" i="10"/>
  <c r="I21" i="10"/>
  <c r="I20" i="10"/>
  <c r="I18" i="10"/>
  <c r="I17" i="10"/>
  <c r="J16" i="10"/>
  <c r="I16" i="10"/>
  <c r="K16" i="10" s="1"/>
  <c r="I15" i="10"/>
  <c r="I14" i="10"/>
  <c r="I13" i="10"/>
  <c r="I11" i="10"/>
  <c r="I10" i="10"/>
  <c r="I9" i="10"/>
  <c r="I8" i="10"/>
  <c r="I7" i="10"/>
  <c r="I6" i="10"/>
  <c r="I4" i="10"/>
  <c r="I3" i="10"/>
  <c r="S34" i="8"/>
  <c r="J13" i="17" s="1"/>
  <c r="R34" i="8"/>
  <c r="I13" i="17" s="1"/>
  <c r="Q34" i="8"/>
  <c r="H13" i="17" s="1"/>
  <c r="N34" i="8"/>
  <c r="M34" i="8"/>
  <c r="L34" i="8"/>
  <c r="H34" i="8"/>
  <c r="G34" i="8"/>
  <c r="D34" i="8"/>
  <c r="I32" i="8"/>
  <c r="I31" i="8"/>
  <c r="I30" i="8"/>
  <c r="I29" i="8"/>
  <c r="I28" i="8"/>
  <c r="I27" i="8"/>
  <c r="I25" i="8"/>
  <c r="I24" i="8"/>
  <c r="I23" i="8"/>
  <c r="I21" i="8"/>
  <c r="I20" i="8"/>
  <c r="I18" i="8"/>
  <c r="I17" i="8"/>
  <c r="I16" i="8"/>
  <c r="I15" i="8"/>
  <c r="I14" i="8"/>
  <c r="I13" i="8"/>
  <c r="I11" i="8"/>
  <c r="I10" i="8"/>
  <c r="I9" i="8"/>
  <c r="I8" i="8"/>
  <c r="I7" i="8"/>
  <c r="I6" i="8"/>
  <c r="I4" i="8"/>
  <c r="I3" i="8"/>
  <c r="S34" i="7"/>
  <c r="J12" i="17" s="1"/>
  <c r="R34" i="7"/>
  <c r="I12" i="17" s="1"/>
  <c r="Q34" i="7"/>
  <c r="H12" i="17" s="1"/>
  <c r="N34" i="7"/>
  <c r="M34" i="7"/>
  <c r="L34" i="7"/>
  <c r="H34" i="7"/>
  <c r="G34" i="7"/>
  <c r="D34" i="7"/>
  <c r="I32" i="7"/>
  <c r="I31" i="7"/>
  <c r="I30" i="7"/>
  <c r="I29" i="7"/>
  <c r="I28" i="7"/>
  <c r="I27" i="7"/>
  <c r="I25" i="7"/>
  <c r="I24" i="7"/>
  <c r="I23" i="7"/>
  <c r="I22" i="7"/>
  <c r="I21" i="7"/>
  <c r="I20" i="7"/>
  <c r="I18" i="7"/>
  <c r="I17" i="7"/>
  <c r="I16" i="7"/>
  <c r="I15" i="7"/>
  <c r="I14" i="7"/>
  <c r="I13" i="7"/>
  <c r="I11" i="7"/>
  <c r="I10" i="7"/>
  <c r="I9" i="7"/>
  <c r="I8" i="7"/>
  <c r="I7" i="7"/>
  <c r="I6" i="7"/>
  <c r="I4" i="7"/>
  <c r="I3" i="7"/>
  <c r="S34" i="6"/>
  <c r="J10" i="17" s="1"/>
  <c r="R34" i="6"/>
  <c r="I10" i="17" s="1"/>
  <c r="Q34" i="6"/>
  <c r="H10" i="17" s="1"/>
  <c r="N34" i="6"/>
  <c r="M34" i="6"/>
  <c r="L34" i="6"/>
  <c r="H34" i="6"/>
  <c r="G34" i="6"/>
  <c r="D34" i="6"/>
  <c r="I32" i="6"/>
  <c r="I31" i="6"/>
  <c r="I30" i="6"/>
  <c r="I29" i="6"/>
  <c r="I28" i="6"/>
  <c r="I27" i="6"/>
  <c r="I25" i="6"/>
  <c r="I24" i="6"/>
  <c r="I23" i="6"/>
  <c r="I22" i="6"/>
  <c r="I21" i="6"/>
  <c r="I20" i="6"/>
  <c r="I18" i="6"/>
  <c r="I17" i="6"/>
  <c r="I16" i="6"/>
  <c r="I15" i="6"/>
  <c r="I14" i="6"/>
  <c r="I13" i="6"/>
  <c r="I11" i="6"/>
  <c r="I10" i="6"/>
  <c r="I9" i="6"/>
  <c r="I8" i="6"/>
  <c r="I7" i="6"/>
  <c r="I6" i="6"/>
  <c r="I4" i="6"/>
  <c r="I3" i="6"/>
  <c r="J7" i="17"/>
  <c r="I7" i="17"/>
  <c r="H7" i="17"/>
  <c r="S34" i="4"/>
  <c r="J6" i="17" s="1"/>
  <c r="R34" i="4"/>
  <c r="I6" i="17" s="1"/>
  <c r="Q34" i="4"/>
  <c r="H6" i="17" s="1"/>
  <c r="N34" i="4"/>
  <c r="M34" i="4"/>
  <c r="L34" i="4"/>
  <c r="H34" i="4"/>
  <c r="G34" i="4"/>
  <c r="D34" i="4"/>
  <c r="I32" i="4"/>
  <c r="I30" i="4"/>
  <c r="I29" i="4"/>
  <c r="I28" i="4"/>
  <c r="I25" i="4"/>
  <c r="I24" i="4"/>
  <c r="I23" i="4"/>
  <c r="I22" i="4"/>
  <c r="I21" i="4"/>
  <c r="I20" i="4"/>
  <c r="I18" i="4"/>
  <c r="I17" i="4"/>
  <c r="I16" i="4"/>
  <c r="I15" i="4"/>
  <c r="I14" i="4"/>
  <c r="I13" i="4"/>
  <c r="I11" i="4"/>
  <c r="I10" i="4"/>
  <c r="I9" i="4"/>
  <c r="I8" i="4"/>
  <c r="I7" i="4"/>
  <c r="I6" i="4"/>
  <c r="I4" i="4"/>
  <c r="I3" i="4"/>
  <c r="H39" i="3"/>
  <c r="H38" i="3"/>
  <c r="S34" i="3"/>
  <c r="J9" i="17" s="1"/>
  <c r="R34" i="3"/>
  <c r="I9" i="17" s="1"/>
  <c r="Q34" i="3"/>
  <c r="N34" i="3"/>
  <c r="M34" i="3"/>
  <c r="L34" i="3"/>
  <c r="H34" i="3"/>
  <c r="G34" i="3"/>
  <c r="D34" i="3"/>
  <c r="I32" i="3"/>
  <c r="I31" i="3"/>
  <c r="I30" i="3"/>
  <c r="I29" i="3"/>
  <c r="I28" i="3"/>
  <c r="I27" i="3"/>
  <c r="I25" i="3"/>
  <c r="I24" i="3"/>
  <c r="I23" i="3"/>
  <c r="I22" i="3"/>
  <c r="I21" i="3"/>
  <c r="I20" i="3"/>
  <c r="I18" i="3"/>
  <c r="I17" i="3"/>
  <c r="I16" i="3"/>
  <c r="I15" i="3"/>
  <c r="I14" i="3"/>
  <c r="I13" i="3"/>
  <c r="I11" i="3"/>
  <c r="I10" i="3"/>
  <c r="I9" i="3"/>
  <c r="I8" i="3"/>
  <c r="I7" i="3"/>
  <c r="I6" i="3"/>
  <c r="I4" i="3"/>
  <c r="S34" i="2"/>
  <c r="J8" i="17" s="1"/>
  <c r="R34" i="2"/>
  <c r="I8" i="17" s="1"/>
  <c r="Q34" i="2"/>
  <c r="H8" i="17" s="1"/>
  <c r="N34" i="2"/>
  <c r="M34" i="2"/>
  <c r="L34" i="2"/>
  <c r="H34" i="2"/>
  <c r="G34" i="2"/>
  <c r="D34" i="2"/>
  <c r="I32" i="2"/>
  <c r="I31" i="2"/>
  <c r="I30" i="2"/>
  <c r="I29" i="2"/>
  <c r="I28" i="2"/>
  <c r="I27" i="2"/>
  <c r="I25" i="2"/>
  <c r="I24" i="2"/>
  <c r="I23" i="2"/>
  <c r="I22" i="2"/>
  <c r="I21" i="2"/>
  <c r="I20" i="2"/>
  <c r="I18" i="2"/>
  <c r="I17" i="2"/>
  <c r="I11" i="2"/>
  <c r="I8" i="2"/>
  <c r="I7" i="2"/>
  <c r="I6" i="2"/>
  <c r="I4" i="2"/>
  <c r="I3" i="2"/>
  <c r="S34" i="1"/>
  <c r="J11" i="17" s="1"/>
  <c r="R34" i="1"/>
  <c r="I11" i="17" s="1"/>
  <c r="Q34" i="1"/>
  <c r="H11" i="17" s="1"/>
  <c r="N34" i="1"/>
  <c r="M34" i="1"/>
  <c r="L34" i="1"/>
  <c r="H34" i="1"/>
  <c r="G34" i="1"/>
  <c r="D34" i="1"/>
  <c r="I32" i="1"/>
  <c r="I31" i="1"/>
  <c r="I30" i="1"/>
  <c r="I29" i="1"/>
  <c r="I28" i="1"/>
  <c r="I27" i="1"/>
  <c r="I25" i="1"/>
  <c r="I24" i="1"/>
  <c r="I23" i="1"/>
  <c r="I22" i="1"/>
  <c r="I21" i="1"/>
  <c r="I20" i="1"/>
  <c r="I18" i="1"/>
  <c r="I17" i="1"/>
  <c r="I16" i="1"/>
  <c r="I15" i="1"/>
  <c r="I14" i="1"/>
  <c r="I13" i="1"/>
  <c r="I11" i="1"/>
  <c r="I10" i="1"/>
  <c r="I9" i="1"/>
  <c r="I8" i="1"/>
  <c r="I7" i="1"/>
  <c r="I6" i="1"/>
  <c r="I4" i="1"/>
  <c r="I3" i="1"/>
  <c r="K31" i="5" l="1"/>
  <c r="J31" i="5"/>
  <c r="J30" i="5"/>
  <c r="K30" i="5"/>
  <c r="K29" i="5"/>
  <c r="J29" i="5"/>
  <c r="K28" i="5"/>
  <c r="J28" i="5"/>
  <c r="K27" i="5"/>
  <c r="J27" i="5"/>
  <c r="K24" i="5"/>
  <c r="J24" i="5"/>
  <c r="K23" i="5"/>
  <c r="J23" i="5"/>
  <c r="K22" i="5"/>
  <c r="J22" i="5"/>
  <c r="K21" i="5"/>
  <c r="J21" i="5"/>
  <c r="K20" i="5"/>
  <c r="J20" i="5"/>
  <c r="K17" i="5"/>
  <c r="J17" i="5"/>
  <c r="K16" i="5"/>
  <c r="J16" i="5"/>
  <c r="K15" i="5"/>
  <c r="J15" i="5"/>
  <c r="K14" i="5"/>
  <c r="J14" i="5"/>
  <c r="K13" i="5"/>
  <c r="J13" i="5"/>
  <c r="K10" i="5"/>
  <c r="J10" i="5"/>
  <c r="K9" i="5"/>
  <c r="J9" i="5"/>
  <c r="K8" i="5"/>
  <c r="J8" i="5"/>
  <c r="J7" i="5"/>
  <c r="K7" i="5"/>
  <c r="I34" i="5"/>
  <c r="J3" i="5"/>
  <c r="J34" i="5" s="1"/>
  <c r="K3" i="5"/>
  <c r="K34" i="5" s="1"/>
  <c r="G19" i="17"/>
  <c r="H39" i="16"/>
  <c r="F19" i="17"/>
  <c r="H38" i="16"/>
  <c r="K31" i="16"/>
  <c r="J31" i="16"/>
  <c r="J30" i="16"/>
  <c r="K30" i="16"/>
  <c r="K29" i="16"/>
  <c r="J29" i="16"/>
  <c r="K28" i="16"/>
  <c r="J28" i="16"/>
  <c r="K27" i="16"/>
  <c r="J27" i="16"/>
  <c r="K24" i="16"/>
  <c r="J24" i="16"/>
  <c r="K23" i="16"/>
  <c r="J23" i="16"/>
  <c r="J22" i="16"/>
  <c r="K22" i="16"/>
  <c r="J21" i="16"/>
  <c r="K21" i="16"/>
  <c r="K20" i="16"/>
  <c r="J20" i="16"/>
  <c r="K17" i="16"/>
  <c r="J17" i="16"/>
  <c r="K16" i="16"/>
  <c r="J16" i="16"/>
  <c r="J15" i="16"/>
  <c r="K15" i="16"/>
  <c r="K14" i="16"/>
  <c r="J14" i="16"/>
  <c r="K13" i="16"/>
  <c r="J13" i="16"/>
  <c r="K10" i="16"/>
  <c r="J10" i="16"/>
  <c r="K9" i="16"/>
  <c r="J9" i="16"/>
  <c r="J8" i="16"/>
  <c r="K8" i="16"/>
  <c r="J7" i="16"/>
  <c r="K7" i="16"/>
  <c r="K6" i="16"/>
  <c r="J6" i="16"/>
  <c r="K3" i="16"/>
  <c r="K34" i="16" s="1"/>
  <c r="J3" i="16"/>
  <c r="J34" i="16" s="1"/>
  <c r="H36" i="16" s="1"/>
  <c r="D19" i="17" s="1"/>
  <c r="I34" i="16"/>
  <c r="H39" i="15"/>
  <c r="G18" i="17"/>
  <c r="H38" i="15"/>
  <c r="F18" i="17"/>
  <c r="K31" i="15"/>
  <c r="J31" i="15"/>
  <c r="J30" i="15"/>
  <c r="K30" i="15"/>
  <c r="K29" i="15"/>
  <c r="J29" i="15"/>
  <c r="K28" i="15"/>
  <c r="J28" i="15"/>
  <c r="K27" i="15"/>
  <c r="J27" i="15"/>
  <c r="J23" i="15"/>
  <c r="K23" i="15"/>
  <c r="J22" i="15"/>
  <c r="K22" i="15"/>
  <c r="J21" i="15"/>
  <c r="K21" i="15"/>
  <c r="K20" i="15"/>
  <c r="J20" i="15"/>
  <c r="J17" i="15"/>
  <c r="K17" i="15"/>
  <c r="J16" i="15"/>
  <c r="K16" i="15"/>
  <c r="K15" i="15"/>
  <c r="J15" i="15"/>
  <c r="K14" i="15"/>
  <c r="J14" i="15"/>
  <c r="K13" i="15"/>
  <c r="J13" i="15"/>
  <c r="K10" i="15"/>
  <c r="J10" i="15"/>
  <c r="J9" i="15"/>
  <c r="K9" i="15"/>
  <c r="K8" i="15"/>
  <c r="J8" i="15"/>
  <c r="J7" i="15"/>
  <c r="K7" i="15"/>
  <c r="K6" i="15"/>
  <c r="J6" i="15"/>
  <c r="K3" i="15"/>
  <c r="K34" i="15" s="1"/>
  <c r="J3" i="15"/>
  <c r="J34" i="15" s="1"/>
  <c r="G17" i="17"/>
  <c r="H39" i="13"/>
  <c r="F17" i="17"/>
  <c r="H38" i="13"/>
  <c r="K31" i="13"/>
  <c r="J31" i="13"/>
  <c r="K30" i="13"/>
  <c r="J30" i="13"/>
  <c r="J29" i="13"/>
  <c r="K29" i="13"/>
  <c r="J28" i="13"/>
  <c r="K28" i="13"/>
  <c r="K27" i="13"/>
  <c r="J27" i="13"/>
  <c r="K24" i="13"/>
  <c r="J24" i="13"/>
  <c r="K23" i="13"/>
  <c r="J23" i="13"/>
  <c r="K22" i="13"/>
  <c r="J22" i="13"/>
  <c r="J21" i="13"/>
  <c r="K21" i="13"/>
  <c r="K20" i="13"/>
  <c r="J20" i="13"/>
  <c r="K17" i="13"/>
  <c r="J17" i="13"/>
  <c r="K16" i="13"/>
  <c r="J16" i="13"/>
  <c r="J15" i="13"/>
  <c r="K15" i="13"/>
  <c r="K14" i="13"/>
  <c r="J14" i="13"/>
  <c r="K13" i="13"/>
  <c r="J13" i="13"/>
  <c r="K10" i="13"/>
  <c r="J10" i="13"/>
  <c r="K9" i="13"/>
  <c r="J9" i="13"/>
  <c r="K8" i="13"/>
  <c r="J8" i="13"/>
  <c r="K7" i="13"/>
  <c r="J7" i="13"/>
  <c r="K6" i="13"/>
  <c r="J6" i="13"/>
  <c r="I34" i="13"/>
  <c r="K3" i="13"/>
  <c r="K34" i="13" s="1"/>
  <c r="J3" i="13"/>
  <c r="J34" i="13" s="1"/>
  <c r="H36" i="13" s="1"/>
  <c r="D17" i="17" s="1"/>
  <c r="G16" i="17"/>
  <c r="H39" i="12"/>
  <c r="F16" i="17"/>
  <c r="H38" i="12"/>
  <c r="J31" i="12"/>
  <c r="K31" i="12"/>
  <c r="J30" i="12"/>
  <c r="K30" i="12"/>
  <c r="J29" i="12"/>
  <c r="K29" i="12"/>
  <c r="I34" i="12"/>
  <c r="J27" i="12"/>
  <c r="K27" i="12"/>
  <c r="J24" i="12"/>
  <c r="K24" i="12"/>
  <c r="J23" i="12"/>
  <c r="K23" i="12"/>
  <c r="K22" i="12"/>
  <c r="J22" i="12"/>
  <c r="K21" i="12"/>
  <c r="J21" i="12"/>
  <c r="K20" i="12"/>
  <c r="J20" i="12"/>
  <c r="K17" i="12"/>
  <c r="J17" i="12"/>
  <c r="K16" i="12"/>
  <c r="J16" i="12"/>
  <c r="K15" i="12"/>
  <c r="J15" i="12"/>
  <c r="K14" i="12"/>
  <c r="J14" i="12"/>
  <c r="K13" i="12"/>
  <c r="J13" i="12"/>
  <c r="K10" i="12"/>
  <c r="J10" i="12"/>
  <c r="K9" i="12"/>
  <c r="J9" i="12"/>
  <c r="K8" i="12"/>
  <c r="J8" i="12"/>
  <c r="K7" i="12"/>
  <c r="J7" i="12"/>
  <c r="J6" i="12"/>
  <c r="K6" i="12"/>
  <c r="K3" i="12"/>
  <c r="K34" i="12" s="1"/>
  <c r="J3" i="12"/>
  <c r="J34" i="12" s="1"/>
  <c r="H36" i="12" s="1"/>
  <c r="D16" i="17" s="1"/>
  <c r="H39" i="11"/>
  <c r="G15" i="17"/>
  <c r="H38" i="11"/>
  <c r="F15" i="17"/>
  <c r="K31" i="11"/>
  <c r="J31" i="11"/>
  <c r="K30" i="11"/>
  <c r="J30" i="11"/>
  <c r="K29" i="11"/>
  <c r="J29" i="11"/>
  <c r="J28" i="11"/>
  <c r="K28" i="11"/>
  <c r="K27" i="11"/>
  <c r="J27" i="11"/>
  <c r="K24" i="11"/>
  <c r="J24" i="11"/>
  <c r="J23" i="11"/>
  <c r="K23" i="11"/>
  <c r="K22" i="11"/>
  <c r="J22" i="11"/>
  <c r="K21" i="11"/>
  <c r="J21" i="11"/>
  <c r="K20" i="11"/>
  <c r="J20" i="11"/>
  <c r="J17" i="11"/>
  <c r="K17" i="11"/>
  <c r="J16" i="11"/>
  <c r="K16" i="11"/>
  <c r="K15" i="11"/>
  <c r="J15" i="11"/>
  <c r="K14" i="11"/>
  <c r="J14" i="11"/>
  <c r="J13" i="11"/>
  <c r="K13" i="11"/>
  <c r="K10" i="11"/>
  <c r="J10" i="11"/>
  <c r="K9" i="11"/>
  <c r="J9" i="11"/>
  <c r="J8" i="11"/>
  <c r="K8" i="11"/>
  <c r="K7" i="11"/>
  <c r="J7" i="11"/>
  <c r="K6" i="11"/>
  <c r="J6" i="11"/>
  <c r="K3" i="11"/>
  <c r="J3" i="11"/>
  <c r="I34" i="11"/>
  <c r="H39" i="10"/>
  <c r="G14" i="17"/>
  <c r="H38" i="10"/>
  <c r="F14" i="17"/>
  <c r="K31" i="10"/>
  <c r="J31" i="10"/>
  <c r="K29" i="10"/>
  <c r="J29" i="10"/>
  <c r="K28" i="10"/>
  <c r="J28" i="10"/>
  <c r="K27" i="10"/>
  <c r="J27" i="10"/>
  <c r="J24" i="10"/>
  <c r="K24" i="10"/>
  <c r="K23" i="10"/>
  <c r="J23" i="10"/>
  <c r="J22" i="10"/>
  <c r="K22" i="10"/>
  <c r="K21" i="10"/>
  <c r="J21" i="10"/>
  <c r="J20" i="10"/>
  <c r="K20" i="10"/>
  <c r="K17" i="10"/>
  <c r="J17" i="10"/>
  <c r="J15" i="10"/>
  <c r="K15" i="10"/>
  <c r="J14" i="10"/>
  <c r="K14" i="10"/>
  <c r="K13" i="10"/>
  <c r="J13" i="10"/>
  <c r="K10" i="10"/>
  <c r="J10" i="10"/>
  <c r="K9" i="10"/>
  <c r="J9" i="10"/>
  <c r="K8" i="10"/>
  <c r="J8" i="10"/>
  <c r="J7" i="10"/>
  <c r="K7" i="10"/>
  <c r="J6" i="10"/>
  <c r="K6" i="10"/>
  <c r="K3" i="10"/>
  <c r="K34" i="10" s="1"/>
  <c r="J3" i="10"/>
  <c r="J34" i="10" s="1"/>
  <c r="H36" i="10" s="1"/>
  <c r="D14" i="17" s="1"/>
  <c r="I34" i="10"/>
  <c r="G13" i="17"/>
  <c r="H39" i="8"/>
  <c r="F13" i="17"/>
  <c r="H38" i="8"/>
  <c r="K31" i="8"/>
  <c r="J31" i="8"/>
  <c r="K30" i="8"/>
  <c r="J30" i="8"/>
  <c r="J29" i="8"/>
  <c r="K29" i="8"/>
  <c r="K28" i="8"/>
  <c r="J28" i="8"/>
  <c r="K27" i="8"/>
  <c r="J27" i="8"/>
  <c r="J24" i="8"/>
  <c r="K24" i="8"/>
  <c r="J23" i="8"/>
  <c r="K23" i="8"/>
  <c r="K22" i="8"/>
  <c r="J22" i="8"/>
  <c r="K21" i="8"/>
  <c r="J21" i="8"/>
  <c r="K20" i="8"/>
  <c r="J20" i="8"/>
  <c r="K17" i="8"/>
  <c r="J17" i="8"/>
  <c r="J16" i="8"/>
  <c r="K16" i="8"/>
  <c r="K15" i="8"/>
  <c r="J15" i="8"/>
  <c r="J14" i="8"/>
  <c r="K14" i="8"/>
  <c r="J13" i="8"/>
  <c r="K13" i="8"/>
  <c r="J10" i="8"/>
  <c r="K10" i="8"/>
  <c r="K9" i="8"/>
  <c r="J9" i="8"/>
  <c r="K8" i="8"/>
  <c r="J8" i="8"/>
  <c r="K7" i="8"/>
  <c r="J7" i="8"/>
  <c r="J6" i="8"/>
  <c r="K6" i="8"/>
  <c r="K3" i="8"/>
  <c r="K34" i="8" s="1"/>
  <c r="I34" i="8"/>
  <c r="J3" i="8"/>
  <c r="J34" i="8" s="1"/>
  <c r="H36" i="8" s="1"/>
  <c r="D13" i="17" s="1"/>
  <c r="H39" i="7"/>
  <c r="G12" i="17"/>
  <c r="H38" i="7"/>
  <c r="F12" i="17"/>
  <c r="K31" i="7"/>
  <c r="J31" i="7"/>
  <c r="K30" i="7"/>
  <c r="J30" i="7"/>
  <c r="K29" i="7"/>
  <c r="J29" i="7"/>
  <c r="K28" i="7"/>
  <c r="J28" i="7"/>
  <c r="K27" i="7"/>
  <c r="J27" i="7"/>
  <c r="J24" i="7"/>
  <c r="K24" i="7"/>
  <c r="K23" i="7"/>
  <c r="J23" i="7"/>
  <c r="K22" i="7"/>
  <c r="J22" i="7"/>
  <c r="K21" i="7"/>
  <c r="J21" i="7"/>
  <c r="K20" i="7"/>
  <c r="J20" i="7"/>
  <c r="K17" i="7"/>
  <c r="J17" i="7"/>
  <c r="J16" i="7"/>
  <c r="K16" i="7"/>
  <c r="J15" i="7"/>
  <c r="K15" i="7"/>
  <c r="J14" i="7"/>
  <c r="K14" i="7"/>
  <c r="K13" i="7"/>
  <c r="J13" i="7"/>
  <c r="J10" i="7"/>
  <c r="K10" i="7"/>
  <c r="K9" i="7"/>
  <c r="J9" i="7"/>
  <c r="K8" i="7"/>
  <c r="J8" i="7"/>
  <c r="K7" i="7"/>
  <c r="J7" i="7"/>
  <c r="J6" i="7"/>
  <c r="K6" i="7"/>
  <c r="I34" i="7"/>
  <c r="J3" i="7"/>
  <c r="J34" i="7" s="1"/>
  <c r="K3" i="7"/>
  <c r="K34" i="7" s="1"/>
  <c r="G10" i="17"/>
  <c r="H39" i="6"/>
  <c r="F10" i="17"/>
  <c r="H38" i="6"/>
  <c r="J31" i="6"/>
  <c r="K31" i="6"/>
  <c r="J30" i="6"/>
  <c r="K30" i="6"/>
  <c r="J29" i="6"/>
  <c r="K29" i="6"/>
  <c r="K28" i="6"/>
  <c r="J28" i="6"/>
  <c r="J27" i="6"/>
  <c r="K27" i="6"/>
  <c r="J24" i="6"/>
  <c r="K24" i="6"/>
  <c r="K23" i="6"/>
  <c r="J23" i="6"/>
  <c r="K22" i="6"/>
  <c r="J22" i="6"/>
  <c r="K21" i="6"/>
  <c r="J21" i="6"/>
  <c r="K20" i="6"/>
  <c r="J20" i="6"/>
  <c r="J17" i="6"/>
  <c r="K17" i="6"/>
  <c r="J16" i="6"/>
  <c r="K16" i="6"/>
  <c r="J15" i="6"/>
  <c r="K15" i="6"/>
  <c r="J14" i="6"/>
  <c r="K14" i="6"/>
  <c r="J13" i="6"/>
  <c r="K13" i="6"/>
  <c r="K10" i="6"/>
  <c r="J10" i="6"/>
  <c r="K9" i="6"/>
  <c r="J9" i="6"/>
  <c r="J8" i="6"/>
  <c r="K8" i="6"/>
  <c r="J7" i="6"/>
  <c r="K7" i="6"/>
  <c r="K6" i="6"/>
  <c r="J6" i="6"/>
  <c r="I34" i="6"/>
  <c r="K3" i="6"/>
  <c r="K34" i="6" s="1"/>
  <c r="J3" i="6"/>
  <c r="J34" i="6" s="1"/>
  <c r="H36" i="6" s="1"/>
  <c r="G7" i="17"/>
  <c r="F7" i="17"/>
  <c r="G6" i="17"/>
  <c r="H39" i="4"/>
  <c r="F6" i="17"/>
  <c r="H38" i="4"/>
  <c r="K31" i="4"/>
  <c r="J31" i="4"/>
  <c r="J30" i="4"/>
  <c r="K30" i="4"/>
  <c r="K29" i="4"/>
  <c r="J29" i="4"/>
  <c r="K28" i="4"/>
  <c r="J28" i="4"/>
  <c r="K27" i="4"/>
  <c r="J27" i="4"/>
  <c r="J24" i="4"/>
  <c r="K24" i="4"/>
  <c r="J23" i="4"/>
  <c r="K23" i="4"/>
  <c r="J22" i="4"/>
  <c r="K22" i="4"/>
  <c r="K21" i="4"/>
  <c r="J21" i="4"/>
  <c r="J20" i="4"/>
  <c r="K20" i="4"/>
  <c r="J17" i="4"/>
  <c r="K17" i="4"/>
  <c r="K16" i="4"/>
  <c r="J16" i="4"/>
  <c r="J15" i="4"/>
  <c r="K15" i="4"/>
  <c r="K14" i="4"/>
  <c r="J14" i="4"/>
  <c r="K13" i="4"/>
  <c r="J13" i="4"/>
  <c r="K10" i="4"/>
  <c r="J10" i="4"/>
  <c r="J9" i="4"/>
  <c r="K9" i="4"/>
  <c r="K8" i="4"/>
  <c r="J8" i="4"/>
  <c r="J7" i="4"/>
  <c r="K7" i="4"/>
  <c r="K6" i="4"/>
  <c r="J6" i="4"/>
  <c r="K3" i="4"/>
  <c r="K34" i="4" s="1"/>
  <c r="I34" i="4"/>
  <c r="J3" i="4"/>
  <c r="J34" i="4" s="1"/>
  <c r="H36" i="4" s="1"/>
  <c r="D6" i="17" s="1"/>
  <c r="K31" i="3"/>
  <c r="J31" i="3"/>
  <c r="K30" i="3"/>
  <c r="J30" i="3"/>
  <c r="K29" i="3"/>
  <c r="J29" i="3"/>
  <c r="J28" i="3"/>
  <c r="K28" i="3"/>
  <c r="J27" i="3"/>
  <c r="K27" i="3"/>
  <c r="K24" i="3"/>
  <c r="J24" i="3"/>
  <c r="K23" i="3"/>
  <c r="J23" i="3"/>
  <c r="J22" i="3"/>
  <c r="K22" i="3"/>
  <c r="K21" i="3"/>
  <c r="J21" i="3"/>
  <c r="J20" i="3"/>
  <c r="K20" i="3"/>
  <c r="J17" i="3"/>
  <c r="K17" i="3"/>
  <c r="K16" i="3"/>
  <c r="J16" i="3"/>
  <c r="J15" i="3"/>
  <c r="K15" i="3"/>
  <c r="J14" i="3"/>
  <c r="K14" i="3"/>
  <c r="J13" i="3"/>
  <c r="K13" i="3"/>
  <c r="J10" i="3"/>
  <c r="K10" i="3"/>
  <c r="K9" i="3"/>
  <c r="J9" i="3"/>
  <c r="J8" i="3"/>
  <c r="K8" i="3"/>
  <c r="K7" i="3"/>
  <c r="J7" i="3"/>
  <c r="K6" i="3"/>
  <c r="J6" i="3"/>
  <c r="J3" i="3"/>
  <c r="I34" i="3"/>
  <c r="K3" i="3"/>
  <c r="G8" i="17"/>
  <c r="H39" i="2"/>
  <c r="F8" i="17"/>
  <c r="H38" i="2"/>
  <c r="K31" i="2"/>
  <c r="J31" i="2"/>
  <c r="J30" i="2"/>
  <c r="K30" i="2"/>
  <c r="J29" i="2"/>
  <c r="K29" i="2"/>
  <c r="J28" i="2"/>
  <c r="K28" i="2"/>
  <c r="J27" i="2"/>
  <c r="K27" i="2"/>
  <c r="J24" i="2"/>
  <c r="K24" i="2"/>
  <c r="K23" i="2"/>
  <c r="J23" i="2"/>
  <c r="K22" i="2"/>
  <c r="J22" i="2"/>
  <c r="J21" i="2"/>
  <c r="K21" i="2"/>
  <c r="J20" i="2"/>
  <c r="K20" i="2"/>
  <c r="K17" i="2"/>
  <c r="J17" i="2"/>
  <c r="K16" i="2"/>
  <c r="J16" i="2"/>
  <c r="K15" i="2"/>
  <c r="J15" i="2"/>
  <c r="K14" i="2"/>
  <c r="J14" i="2"/>
  <c r="J13" i="2"/>
  <c r="K13" i="2"/>
  <c r="K10" i="2"/>
  <c r="J10" i="2"/>
  <c r="K9" i="2"/>
  <c r="J9" i="2"/>
  <c r="K8" i="2"/>
  <c r="J8" i="2"/>
  <c r="K7" i="2"/>
  <c r="J7" i="2"/>
  <c r="K6" i="2"/>
  <c r="J6" i="2"/>
  <c r="K3" i="2"/>
  <c r="K34" i="2" s="1"/>
  <c r="I34" i="2"/>
  <c r="J3" i="2"/>
  <c r="G11" i="17"/>
  <c r="H40" i="1"/>
  <c r="H39" i="1"/>
  <c r="F11" i="17"/>
  <c r="K31" i="1"/>
  <c r="J31" i="1"/>
  <c r="J30" i="1"/>
  <c r="K30" i="1"/>
  <c r="K29" i="1"/>
  <c r="J29" i="1"/>
  <c r="K28" i="1"/>
  <c r="J28" i="1"/>
  <c r="J27" i="1"/>
  <c r="K27" i="1"/>
  <c r="J24" i="1"/>
  <c r="K24" i="1"/>
  <c r="J23" i="1"/>
  <c r="K23" i="1"/>
  <c r="K22" i="1"/>
  <c r="J22" i="1"/>
  <c r="J21" i="1"/>
  <c r="K21" i="1"/>
  <c r="K20" i="1"/>
  <c r="J20" i="1"/>
  <c r="J17" i="1"/>
  <c r="K17" i="1"/>
  <c r="J16" i="1"/>
  <c r="K16" i="1"/>
  <c r="J15" i="1"/>
  <c r="K15" i="1"/>
  <c r="J14" i="1"/>
  <c r="K14" i="1"/>
  <c r="J13" i="1"/>
  <c r="K13" i="1"/>
  <c r="K10" i="1"/>
  <c r="J10" i="1"/>
  <c r="J9" i="1"/>
  <c r="K9" i="1"/>
  <c r="K8" i="1"/>
  <c r="J8" i="1"/>
  <c r="K7" i="1"/>
  <c r="J7" i="1"/>
  <c r="J6" i="1"/>
  <c r="K6" i="1"/>
  <c r="K3" i="1"/>
  <c r="K34" i="1" s="1"/>
  <c r="J3" i="1"/>
  <c r="J34" i="1" s="1"/>
  <c r="I34" i="1"/>
  <c r="H37" i="5" l="1"/>
  <c r="E7" i="17" s="1"/>
  <c r="H40" i="5"/>
  <c r="K7" i="17" s="1"/>
  <c r="H36" i="5"/>
  <c r="H37" i="1"/>
  <c r="J34" i="2"/>
  <c r="H37" i="16"/>
  <c r="E19" i="17" s="1"/>
  <c r="H40" i="16"/>
  <c r="K19" i="17" s="1"/>
  <c r="H37" i="15"/>
  <c r="E18" i="17" s="1"/>
  <c r="H40" i="15"/>
  <c r="K18" i="17" s="1"/>
  <c r="H37" i="13"/>
  <c r="E17" i="17" s="1"/>
  <c r="H40" i="13"/>
  <c r="K17" i="17" s="1"/>
  <c r="H37" i="12"/>
  <c r="E16" i="17" s="1"/>
  <c r="H40" i="12"/>
  <c r="K16" i="17" s="1"/>
  <c r="H37" i="10"/>
  <c r="E14" i="17" s="1"/>
  <c r="H40" i="10"/>
  <c r="K14" i="17" s="1"/>
  <c r="H37" i="8"/>
  <c r="E13" i="17" s="1"/>
  <c r="H40" i="8"/>
  <c r="K13" i="17" s="1"/>
  <c r="H37" i="7"/>
  <c r="E12" i="17" s="1"/>
  <c r="H40" i="7"/>
  <c r="K12" i="17" s="1"/>
  <c r="H37" i="6"/>
  <c r="E10" i="17" s="1"/>
  <c r="H40" i="6"/>
  <c r="K10" i="17" s="1"/>
  <c r="H37" i="4"/>
  <c r="E6" i="17" s="1"/>
  <c r="H40" i="4"/>
  <c r="K6" i="17" s="1"/>
  <c r="H38" i="1"/>
  <c r="E11" i="17" s="1"/>
  <c r="H41" i="1"/>
  <c r="K11" i="17" s="1"/>
  <c r="K34" i="11"/>
  <c r="J34" i="11"/>
  <c r="D15" i="17" s="1"/>
  <c r="H36" i="7"/>
  <c r="D12" i="17" s="1"/>
  <c r="J34" i="3"/>
  <c r="K34" i="3"/>
  <c r="H36" i="15"/>
  <c r="D18" i="17" s="1"/>
  <c r="H36" i="2" l="1"/>
  <c r="D8" i="17" s="1"/>
  <c r="H37" i="2"/>
  <c r="E8" i="17" s="1"/>
  <c r="H40" i="2"/>
  <c r="K8" i="17" s="1"/>
  <c r="K15" i="17"/>
  <c r="H37" i="11"/>
  <c r="E15" i="17" s="1"/>
  <c r="H40" i="3"/>
  <c r="K9" i="17" s="1"/>
  <c r="H37" i="3"/>
  <c r="E9" i="17" s="1"/>
  <c r="H36" i="3"/>
</calcChain>
</file>

<file path=xl/sharedStrings.xml><?xml version="1.0" encoding="utf-8"?>
<sst xmlns="http://schemas.openxmlformats.org/spreadsheetml/2006/main" count="2992" uniqueCount="404">
  <si>
    <t>شرکت توسعه کارآفرینی سوره
کارکرد اردیبهشت 1405-الهه فاطمی</t>
  </si>
  <si>
    <t>روز</t>
  </si>
  <si>
    <t>تاریخ</t>
  </si>
  <si>
    <t>تعداد تردد</t>
  </si>
  <si>
    <t>اولین ورود</t>
  </si>
  <si>
    <t>آخرین خروج</t>
  </si>
  <si>
    <t>کارکرد</t>
  </si>
  <si>
    <t>کارکرد موظفی</t>
  </si>
  <si>
    <t>کارکرد موظف
پس از کسر مرخصی</t>
  </si>
  <si>
    <t>اضافه کار</t>
  </si>
  <si>
    <t>کسرکار</t>
  </si>
  <si>
    <t>جمعه کاری</t>
  </si>
  <si>
    <t>تعطیل کاری</t>
  </si>
  <si>
    <t>شب کاری</t>
  </si>
  <si>
    <t>مرخصی</t>
  </si>
  <si>
    <t>نوع مرخصی</t>
  </si>
  <si>
    <t>مرخصی استحقاقی</t>
  </si>
  <si>
    <t>مرخصی ساعتی</t>
  </si>
  <si>
    <t>مرخصی استعلاجی</t>
  </si>
  <si>
    <t>چهارشنبه</t>
  </si>
  <si>
    <t>1405/01/26</t>
  </si>
  <si>
    <t>08:49</t>
  </si>
  <si>
    <t>20:50</t>
  </si>
  <si>
    <t>00:00</t>
  </si>
  <si>
    <t>---</t>
  </si>
  <si>
    <t>پنجشنبه</t>
  </si>
  <si>
    <t>1405/01/27</t>
  </si>
  <si>
    <t>----</t>
  </si>
  <si>
    <t>جمعه</t>
  </si>
  <si>
    <t>1405/01/28</t>
  </si>
  <si>
    <t>شنبه</t>
  </si>
  <si>
    <t>1405/01/29</t>
  </si>
  <si>
    <t>09:23</t>
  </si>
  <si>
    <t>21:00</t>
  </si>
  <si>
    <t>یکشنبه</t>
  </si>
  <si>
    <t>1405/01/30</t>
  </si>
  <si>
    <t>08:36</t>
  </si>
  <si>
    <t>19:00</t>
  </si>
  <si>
    <t>دوشنبه</t>
  </si>
  <si>
    <t>1405/01/31</t>
  </si>
  <si>
    <t>00:34</t>
  </si>
  <si>
    <t>سه‌شنبه</t>
  </si>
  <si>
    <t>1405/02/01</t>
  </si>
  <si>
    <t>09:20</t>
  </si>
  <si>
    <t>19:09</t>
  </si>
  <si>
    <t>1405/02/02</t>
  </si>
  <si>
    <t>09:01</t>
  </si>
  <si>
    <t>18:29</t>
  </si>
  <si>
    <t>1405/02/03</t>
  </si>
  <si>
    <t>1405/02/04</t>
  </si>
  <si>
    <t>1405/02/05</t>
  </si>
  <si>
    <t>09:40</t>
  </si>
  <si>
    <t>20:40</t>
  </si>
  <si>
    <t>1405/02/06</t>
  </si>
  <si>
    <t>11:45</t>
  </si>
  <si>
    <t>18:46</t>
  </si>
  <si>
    <t>1405/02/07</t>
  </si>
  <si>
    <t>09:03</t>
  </si>
  <si>
    <t>19:23</t>
  </si>
  <si>
    <t>1405/02/08</t>
  </si>
  <si>
    <t>08:57</t>
  </si>
  <si>
    <t>18:41</t>
  </si>
  <si>
    <t>1405/02/09</t>
  </si>
  <si>
    <t>09:41</t>
  </si>
  <si>
    <t>19:30</t>
  </si>
  <si>
    <t>1405/02/10</t>
  </si>
  <si>
    <t>1405/02/11</t>
  </si>
  <si>
    <t>1405/02/12</t>
  </si>
  <si>
    <t>08:26</t>
  </si>
  <si>
    <t>18:44</t>
  </si>
  <si>
    <t>1405/02/13</t>
  </si>
  <si>
    <t>19:31</t>
  </si>
  <si>
    <t>1405/02/14</t>
  </si>
  <si>
    <t>09:21</t>
  </si>
  <si>
    <t>19:20</t>
  </si>
  <si>
    <t>1405/02/15</t>
  </si>
  <si>
    <t>09:53</t>
  </si>
  <si>
    <t>20:38</t>
  </si>
  <si>
    <t>1405/02/16</t>
  </si>
  <si>
    <t>08:38</t>
  </si>
  <si>
    <t>19:07</t>
  </si>
  <si>
    <t>1405/02/17</t>
  </si>
  <si>
    <t>1405/02/18</t>
  </si>
  <si>
    <t>1405/02/19</t>
  </si>
  <si>
    <t>09:04</t>
  </si>
  <si>
    <t>19:34</t>
  </si>
  <si>
    <t>1405/02/20</t>
  </si>
  <si>
    <t>09:54</t>
  </si>
  <si>
    <t>18:38</t>
  </si>
  <si>
    <t>1405/02/21</t>
  </si>
  <si>
    <t>08:11</t>
  </si>
  <si>
    <t>19:33</t>
  </si>
  <si>
    <t>1405/02/22</t>
  </si>
  <si>
    <t>10:02</t>
  </si>
  <si>
    <t>19:17</t>
  </si>
  <si>
    <t>1405/02/23</t>
  </si>
  <si>
    <t>09:57</t>
  </si>
  <si>
    <t>20:43</t>
  </si>
  <si>
    <t>1405/02/24</t>
  </si>
  <si>
    <t>17:31</t>
  </si>
  <si>
    <t>18:47</t>
  </si>
  <si>
    <t>1405/02/25</t>
  </si>
  <si>
    <t>جمع</t>
  </si>
  <si>
    <t>اضافه کار واقعی</t>
  </si>
  <si>
    <t>تعطیل کار واقعی</t>
  </si>
  <si>
    <t>شبکاری</t>
  </si>
  <si>
    <t>کسرکار واقعی</t>
  </si>
  <si>
    <t>شرکت توسعه کارآفرینی سوره
کارکرد اردیبهشت 1405-مهدی چشمه کبودی</t>
  </si>
  <si>
    <t>08:50</t>
  </si>
  <si>
    <t>22:00</t>
  </si>
  <si>
    <t>07:45</t>
  </si>
  <si>
    <t>18:00</t>
  </si>
  <si>
    <t>14:00</t>
  </si>
  <si>
    <t>15:30</t>
  </si>
  <si>
    <t>21:15</t>
  </si>
  <si>
    <t>07:50</t>
  </si>
  <si>
    <t>22:20</t>
  </si>
  <si>
    <t>08:00</t>
  </si>
  <si>
    <t>23:20</t>
  </si>
  <si>
    <t>08:15</t>
  </si>
  <si>
    <t>23:10</t>
  </si>
  <si>
    <t>08:30</t>
  </si>
  <si>
    <t>19:40</t>
  </si>
  <si>
    <t>20:55</t>
  </si>
  <si>
    <t>21:30</t>
  </si>
  <si>
    <t>06:40</t>
  </si>
  <si>
    <t>21:45</t>
  </si>
  <si>
    <t>06:35</t>
  </si>
  <si>
    <t>21:20</t>
  </si>
  <si>
    <t>09:00</t>
  </si>
  <si>
    <t>14:30</t>
  </si>
  <si>
    <t>09:30</t>
  </si>
  <si>
    <t>12:30</t>
  </si>
  <si>
    <t>08:45</t>
  </si>
  <si>
    <t>22:30</t>
  </si>
  <si>
    <t>22:45</t>
  </si>
  <si>
    <t>09:25</t>
  </si>
  <si>
    <t>21:50</t>
  </si>
  <si>
    <t>09:15</t>
  </si>
  <si>
    <t>22:05</t>
  </si>
  <si>
    <t>شرکت توسعه کارآفرینی سوره
کارکرد اردیبهشت 1405-حمید محمدپور نشرودکل</t>
  </si>
  <si>
    <t>07:58</t>
  </si>
  <si>
    <t>22:12</t>
  </si>
  <si>
    <t>07:54</t>
  </si>
  <si>
    <t>22:26</t>
  </si>
  <si>
    <t>08:19</t>
  </si>
  <si>
    <t>22:35</t>
  </si>
  <si>
    <t>07:48</t>
  </si>
  <si>
    <t>22:52</t>
  </si>
  <si>
    <t>07:27</t>
  </si>
  <si>
    <t>07:32</t>
  </si>
  <si>
    <t>23:06</t>
  </si>
  <si>
    <t>06:01</t>
  </si>
  <si>
    <t>22:21</t>
  </si>
  <si>
    <t>06:12</t>
  </si>
  <si>
    <t>22:15</t>
  </si>
  <si>
    <t>06:31</t>
  </si>
  <si>
    <t>23:33</t>
  </si>
  <si>
    <t>07:47</t>
  </si>
  <si>
    <t>00:20</t>
  </si>
  <si>
    <t>07:41</t>
  </si>
  <si>
    <t>23:19</t>
  </si>
  <si>
    <t>07:43</t>
  </si>
  <si>
    <t>23:01</t>
  </si>
  <si>
    <t>06:00</t>
  </si>
  <si>
    <t>21:26</t>
  </si>
  <si>
    <t>07:53</t>
  </si>
  <si>
    <t>05:59</t>
  </si>
  <si>
    <t>14:25</t>
  </si>
  <si>
    <t>07:42</t>
  </si>
  <si>
    <t>22:02</t>
  </si>
  <si>
    <t>07:49</t>
  </si>
  <si>
    <t>22:11</t>
  </si>
  <si>
    <t>07:36</t>
  </si>
  <si>
    <t>22:13</t>
  </si>
  <si>
    <t>06:03</t>
  </si>
  <si>
    <t>22:10</t>
  </si>
  <si>
    <t>22:57</t>
  </si>
  <si>
    <t>شرکت توسعه کارآفرینی سوره
کارکرد اردیبهشت 1405-محمدسجاد زارع میرک آباد</t>
  </si>
  <si>
    <t>19:56</t>
  </si>
  <si>
    <t>20:26</t>
  </si>
  <si>
    <t>09:26</t>
  </si>
  <si>
    <t>18:39</t>
  </si>
  <si>
    <t>19:48</t>
  </si>
  <si>
    <t>11:00</t>
  </si>
  <si>
    <t>17:00</t>
  </si>
  <si>
    <t>20:00</t>
  </si>
  <si>
    <t>10:00</t>
  </si>
  <si>
    <t>20:28</t>
  </si>
  <si>
    <t>08:54</t>
  </si>
  <si>
    <t>20:09</t>
  </si>
  <si>
    <t>08:37</t>
  </si>
  <si>
    <t>20:29</t>
  </si>
  <si>
    <t>17:40</t>
  </si>
  <si>
    <t>09:19</t>
  </si>
  <si>
    <t>18:50</t>
  </si>
  <si>
    <t>08:47</t>
  </si>
  <si>
    <t>08:17</t>
  </si>
  <si>
    <t>18:04</t>
  </si>
  <si>
    <t>08:24</t>
  </si>
  <si>
    <t>19:29</t>
  </si>
  <si>
    <t>شرکت توسعه کارآفرینی سوره
کارکرد اردیبهشت 1405-محمدصابر نیک نام</t>
  </si>
  <si>
    <t>10:45</t>
  </si>
  <si>
    <t>09:58</t>
  </si>
  <si>
    <t>16:41</t>
  </si>
  <si>
    <t>09:43</t>
  </si>
  <si>
    <t>15:00</t>
  </si>
  <si>
    <t>11:56</t>
  </si>
  <si>
    <t>10:04</t>
  </si>
  <si>
    <t>20:10</t>
  </si>
  <si>
    <t>20:36</t>
  </si>
  <si>
    <t>12:20</t>
  </si>
  <si>
    <t>20:32</t>
  </si>
  <si>
    <t>11:01</t>
  </si>
  <si>
    <t>10:20</t>
  </si>
  <si>
    <t>07:11</t>
  </si>
  <si>
    <t>09:47</t>
  </si>
  <si>
    <t>09:11</t>
  </si>
  <si>
    <t>21:55</t>
  </si>
  <si>
    <t>09:16</t>
  </si>
  <si>
    <t>شرکت توسعه کارآفرینی سوره
کارکرد اردیبهشت 1405-سمیرا نورشرق</t>
  </si>
  <si>
    <t>09:48</t>
  </si>
  <si>
    <t>19:04</t>
  </si>
  <si>
    <t>08:58</t>
  </si>
  <si>
    <t>18:23</t>
  </si>
  <si>
    <t>09:05</t>
  </si>
  <si>
    <t>08:44</t>
  </si>
  <si>
    <t>19:25</t>
  </si>
  <si>
    <t>19:10</t>
  </si>
  <si>
    <t>18:30</t>
  </si>
  <si>
    <t>09:06</t>
  </si>
  <si>
    <t>20:57</t>
  </si>
  <si>
    <t>09:09</t>
  </si>
  <si>
    <t>18:45</t>
  </si>
  <si>
    <t>18:10</t>
  </si>
  <si>
    <t>08:59</t>
  </si>
  <si>
    <t>16:24</t>
  </si>
  <si>
    <t>16:19</t>
  </si>
  <si>
    <t>08:42</t>
  </si>
  <si>
    <t>19:18</t>
  </si>
  <si>
    <t>08:25</t>
  </si>
  <si>
    <t>20:52</t>
  </si>
  <si>
    <t>08:29</t>
  </si>
  <si>
    <t>19:42</t>
  </si>
  <si>
    <t>19:27</t>
  </si>
  <si>
    <t>20:42</t>
  </si>
  <si>
    <t>شرکت توسعه کارآفرینی سوره
کارکرد اردیبهشت 1405-معروف فتحی</t>
  </si>
  <si>
    <t>06:08</t>
  </si>
  <si>
    <t>20:45</t>
  </si>
  <si>
    <t>06:04</t>
  </si>
  <si>
    <t>17:07</t>
  </si>
  <si>
    <t>06:06</t>
  </si>
  <si>
    <t>19:38</t>
  </si>
  <si>
    <t>19:36</t>
  </si>
  <si>
    <t>19:39</t>
  </si>
  <si>
    <t>14:42</t>
  </si>
  <si>
    <t>06:05</t>
  </si>
  <si>
    <t>19:28</t>
  </si>
  <si>
    <t>06:02</t>
  </si>
  <si>
    <t>19:26</t>
  </si>
  <si>
    <t>19:32</t>
  </si>
  <si>
    <t>17:34</t>
  </si>
  <si>
    <t>20:01</t>
  </si>
  <si>
    <t>18:27</t>
  </si>
  <si>
    <t>20:02</t>
  </si>
  <si>
    <t>20:03</t>
  </si>
  <si>
    <t>20:16</t>
  </si>
  <si>
    <t>شرکت توسعه کارآفرینی سوره
کارکرد اردیبهشت 1405-حمید سوری</t>
  </si>
  <si>
    <t>02:19</t>
  </si>
  <si>
    <t>06:13</t>
  </si>
  <si>
    <t>06:07</t>
  </si>
  <si>
    <t>18:57</t>
  </si>
  <si>
    <t>06:09</t>
  </si>
  <si>
    <t>16:58</t>
  </si>
  <si>
    <t>06:10</t>
  </si>
  <si>
    <t>19:15</t>
  </si>
  <si>
    <t>19:11</t>
  </si>
  <si>
    <t>06:11</t>
  </si>
  <si>
    <t>17:15</t>
  </si>
  <si>
    <t>19:08</t>
  </si>
  <si>
    <t>19:21</t>
  </si>
  <si>
    <t>18:59</t>
  </si>
  <si>
    <t>19:05</t>
  </si>
  <si>
    <t>19:16</t>
  </si>
  <si>
    <t>16:01</t>
  </si>
  <si>
    <t>شرکت توسعه کارآفرینی سوره
کارکرد اردیبهشت 1405-محمدحسین پناهی</t>
  </si>
  <si>
    <t>08:55</t>
  </si>
  <si>
    <t>08:31</t>
  </si>
  <si>
    <t>16:04</t>
  </si>
  <si>
    <t>17:52</t>
  </si>
  <si>
    <t>07:16</t>
  </si>
  <si>
    <t>10:28</t>
  </si>
  <si>
    <t>18:13</t>
  </si>
  <si>
    <t>16:18</t>
  </si>
  <si>
    <t>07:40</t>
  </si>
  <si>
    <t>17:30</t>
  </si>
  <si>
    <t>17:56</t>
  </si>
  <si>
    <t>09:18</t>
  </si>
  <si>
    <t>16:35</t>
  </si>
  <si>
    <t>18:09</t>
  </si>
  <si>
    <t>08:40</t>
  </si>
  <si>
    <t>19:35</t>
  </si>
  <si>
    <t>17:33</t>
  </si>
  <si>
    <t>شرکت توسعه کارآفرینی سوره
کارکرد اردیبهشت 1405-مجید هادوی</t>
  </si>
  <si>
    <t>شرکت توسعه کارآفرینی سوره
کارکرد اردیبهشت 1405-مهدی آزانباری</t>
  </si>
  <si>
    <t>18:40</t>
  </si>
  <si>
    <t>14:54</t>
  </si>
  <si>
    <t>19:58</t>
  </si>
  <si>
    <t>18:56</t>
  </si>
  <si>
    <t>19:13</t>
  </si>
  <si>
    <t>16:13</t>
  </si>
  <si>
    <t>19:12</t>
  </si>
  <si>
    <t>18:11</t>
  </si>
  <si>
    <t>19:14</t>
  </si>
  <si>
    <t>20:12</t>
  </si>
  <si>
    <t>18:58</t>
  </si>
  <si>
    <t>06:25</t>
  </si>
  <si>
    <t>19:52</t>
  </si>
  <si>
    <t>19:19</t>
  </si>
  <si>
    <t>شرکت توسعه کارآفرینی سوره
کارکرد اردیبهشت 1405-زهرا پاشایی</t>
  </si>
  <si>
    <t>09:55</t>
  </si>
  <si>
    <t>18:48</t>
  </si>
  <si>
    <t>09:45</t>
  </si>
  <si>
    <t>16:47</t>
  </si>
  <si>
    <t>09:50</t>
  </si>
  <si>
    <t>18:42</t>
  </si>
  <si>
    <t>17:10</t>
  </si>
  <si>
    <t>16:16</t>
  </si>
  <si>
    <t>18:19</t>
  </si>
  <si>
    <t>10:13</t>
  </si>
  <si>
    <t>11:03</t>
  </si>
  <si>
    <t>18:26</t>
  </si>
  <si>
    <t>10:30</t>
  </si>
  <si>
    <t>17:37</t>
  </si>
  <si>
    <t>شرکت توسعه کارآفرینی سوره
کارکرد اردیبهشت 1405-غلامرضا رحیمی</t>
  </si>
  <si>
    <t>07:15</t>
  </si>
  <si>
    <t>15:38</t>
  </si>
  <si>
    <t>07:19</t>
  </si>
  <si>
    <t>07:21</t>
  </si>
  <si>
    <t>07:17</t>
  </si>
  <si>
    <t>19:06</t>
  </si>
  <si>
    <t>19:01</t>
  </si>
  <si>
    <t>07:22</t>
  </si>
  <si>
    <t>15:08</t>
  </si>
  <si>
    <t>07:18</t>
  </si>
  <si>
    <t>07:12</t>
  </si>
  <si>
    <t>18:36</t>
  </si>
  <si>
    <t>07:20</t>
  </si>
  <si>
    <t>07:33</t>
  </si>
  <si>
    <t>15:34</t>
  </si>
  <si>
    <t>07:25</t>
  </si>
  <si>
    <t>شرکت توسعه کارآفرینی سوره
کارکرد اردیبهشت 1405-عاطفه ناجی</t>
  </si>
  <si>
    <t>08:35</t>
  </si>
  <si>
    <t>18:31</t>
  </si>
  <si>
    <t>18:28</t>
  </si>
  <si>
    <t>19:24</t>
  </si>
  <si>
    <t>08:41</t>
  </si>
  <si>
    <t>17:41</t>
  </si>
  <si>
    <t>18:24</t>
  </si>
  <si>
    <t>16:56</t>
  </si>
  <si>
    <t>18:25</t>
  </si>
  <si>
    <t>17:04</t>
  </si>
  <si>
    <t>08:43</t>
  </si>
  <si>
    <t>18:34</t>
  </si>
  <si>
    <t>08:53</t>
  </si>
  <si>
    <t>14:05</t>
  </si>
  <si>
    <t>شرکت توسعه کارآفرینی سوره
کارکرد همکاران - اردیبهشت 1405</t>
  </si>
  <si>
    <t>ردیف</t>
  </si>
  <si>
    <t>نام و نام خانوادگی</t>
  </si>
  <si>
    <t>کارکرد روزانه</t>
  </si>
  <si>
    <t>اضافه کاری</t>
  </si>
  <si>
    <t>مرخصی روزانه</t>
  </si>
  <si>
    <t>الهه فاطمی</t>
  </si>
  <si>
    <t>مهدی چشمه کبودی</t>
  </si>
  <si>
    <t>حمید محمدپور نشرودکل</t>
  </si>
  <si>
    <t>محمدسجاد زارع میرک آباد</t>
  </si>
  <si>
    <t>محمدصابر نیک نام</t>
  </si>
  <si>
    <t>سمیرا نورشرق</t>
  </si>
  <si>
    <t>معروف فتحی</t>
  </si>
  <si>
    <t>حمید سوری</t>
  </si>
  <si>
    <t>محمدحسین پناهی</t>
  </si>
  <si>
    <t>مجید هادوی</t>
  </si>
  <si>
    <t>مهدی آزانباری</t>
  </si>
  <si>
    <t>زهرا پاشایی</t>
  </si>
  <si>
    <t>غلامرضا رحیمی</t>
  </si>
  <si>
    <t>عاطفه ناجی</t>
  </si>
  <si>
    <t>تاییدات</t>
  </si>
  <si>
    <t>تنظیم کننده</t>
  </si>
  <si>
    <t>تایید کننده</t>
  </si>
  <si>
    <t>تصویب کننده</t>
  </si>
  <si>
    <t>سمت سازمانی: راهبر منابع انسانی</t>
  </si>
  <si>
    <t>سمت سازمانی: راهبر اجرایی</t>
  </si>
  <si>
    <t>سمت سازمانی: مدیرعامل</t>
  </si>
  <si>
    <t>الهه سادات فاطمی</t>
  </si>
  <si>
    <t>سعید قنبری</t>
  </si>
  <si>
    <t>یاسر جلالی</t>
  </si>
  <si>
    <t>تاریخ:          امضا:</t>
  </si>
  <si>
    <t xml:space="preserve">تعطیل کار </t>
  </si>
  <si>
    <t xml:space="preserve">کسرکار </t>
  </si>
  <si>
    <t>20:30</t>
  </si>
  <si>
    <t>07:30</t>
  </si>
  <si>
    <t>16:30</t>
  </si>
  <si>
    <t>کسرکار کل</t>
  </si>
  <si>
    <t>اضافه کار قابل پرداخت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</si>
</sst>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name val="B Nazanin"/>
      <charset val="1"/>
    </font>
    <font>
      <b/>
      <sz val="9"/>
      <name val="B Nazanin"/>
      <charset val="1"/>
    </font>
    <font>
      <sz val="9"/>
      <name val="B Nazanin"/>
      <charset val="1"/>
    </font>
    <font>
      <b/>
      <sz val="10"/>
      <name val="B Nazanin"/>
      <charset val="1"/>
    </font>
    <font>
      <sz val="10"/>
      <name val="B Nazanin"/>
      <charset val="1"/>
    </font>
    <font>
      <b/>
      <sz val="10"/>
      <name val="B Nazanin"/>
      <charset val="178"/>
    </font>
    <font>
      <sz val="10"/>
      <color rgb="FFFF0000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B8CCE4"/>
        <bgColor rgb="FF99CCFF"/>
      </patternFill>
    </fill>
    <fill>
      <patternFill patternType="solid">
        <fgColor rgb="FFE2EFDA"/>
        <bgColor rgb="FFDAEEF3"/>
      </patternFill>
    </fill>
    <fill>
      <patternFill patternType="solid">
        <fgColor rgb="FFFCE4D6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DAEEF3"/>
        <bgColor rgb="FFE2EFDA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6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6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6" fontId="4" fillId="5" borderId="1" xfId="0" applyNumberFormat="1" applyFont="1" applyFill="1" applyBorder="1" applyAlignment="1">
      <alignment horizontal="center" vertical="center"/>
    </xf>
    <xf numFmtId="46" fontId="5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6" fontId="5" fillId="0" borderId="1" xfId="0" applyNumberFormat="1" applyFont="1" applyBorder="1" applyAlignment="1">
      <alignment horizontal="center" vertical="center"/>
    </xf>
    <xf numFmtId="20" fontId="0" fillId="0" borderId="0" xfId="0" applyNumberFormat="1"/>
    <xf numFmtId="20" fontId="3" fillId="0" borderId="1" xfId="0" applyNumberFormat="1" applyFont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6" fontId="5" fillId="0" borderId="8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6" fillId="0" borderId="1" xfId="0" applyFont="1" applyBorder="1" applyAlignment="1">
      <alignment horizontal="right" vertical="center"/>
    </xf>
    <xf numFmtId="0" fontId="6" fillId="2" borderId="8" xfId="0" applyFont="1" applyFill="1" applyBorder="1" applyAlignment="1">
      <alignment horizontal="center" vertical="center" wrapText="1"/>
    </xf>
    <xf numFmtId="46" fontId="7" fillId="0" borderId="8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4D6"/>
      <rgbColor rgb="FFDAEEF3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G45" sqref="G45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22" ht="42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22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22" x14ac:dyDescent="0.25">
      <c r="A3" s="2"/>
      <c r="B3" s="2" t="s">
        <v>19</v>
      </c>
      <c r="C3" s="2" t="s">
        <v>20</v>
      </c>
      <c r="D3" s="2">
        <v>2</v>
      </c>
      <c r="E3" s="2" t="s">
        <v>21</v>
      </c>
      <c r="F3" s="2" t="s">
        <v>22</v>
      </c>
      <c r="G3" s="3">
        <v>0.500694444444444</v>
      </c>
      <c r="H3" s="3">
        <v>0.33333333333333298</v>
      </c>
      <c r="I3" s="3">
        <f>MAX(H3-IF(R3="",0,R3),0)</f>
        <v>0.33333333333333298</v>
      </c>
      <c r="J3" s="3">
        <f>IF(G3&gt;I3,G3-I3,0)</f>
        <v>0.16736111111111102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22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22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22" x14ac:dyDescent="0.25">
      <c r="A6" s="2"/>
      <c r="B6" s="2" t="s">
        <v>30</v>
      </c>
      <c r="C6" s="2" t="s">
        <v>31</v>
      </c>
      <c r="D6" s="2">
        <v>2</v>
      </c>
      <c r="E6" s="2" t="s">
        <v>32</v>
      </c>
      <c r="F6" s="2" t="s">
        <v>33</v>
      </c>
      <c r="G6" s="3">
        <v>0.484027777777778</v>
      </c>
      <c r="H6" s="3">
        <v>0.375</v>
      </c>
      <c r="I6" s="3">
        <f t="shared" ref="I6:I11" si="0">MAX(H6-IF(R6="",0,R6),0)</f>
        <v>0.375</v>
      </c>
      <c r="J6" s="3">
        <f>IF(G6&gt;I6,G6-I6,0)</f>
        <v>0.109027777777778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22" x14ac:dyDescent="0.25">
      <c r="A7" s="2"/>
      <c r="B7" s="2" t="s">
        <v>34</v>
      </c>
      <c r="C7" s="2" t="s">
        <v>35</v>
      </c>
      <c r="D7" s="2">
        <v>2</v>
      </c>
      <c r="E7" s="2" t="s">
        <v>36</v>
      </c>
      <c r="F7" s="2" t="s">
        <v>37</v>
      </c>
      <c r="G7" s="3">
        <v>0.43333333333333302</v>
      </c>
      <c r="H7" s="3">
        <v>0.375</v>
      </c>
      <c r="I7" s="3">
        <f t="shared" si="0"/>
        <v>0.375</v>
      </c>
      <c r="J7" s="3">
        <f>IF(G7&gt;I7,G7-I7,0)</f>
        <v>5.8333333333333015E-2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22" x14ac:dyDescent="0.25">
      <c r="A8" s="2"/>
      <c r="B8" s="2" t="s">
        <v>38</v>
      </c>
      <c r="C8" s="2" t="s">
        <v>39</v>
      </c>
      <c r="D8" s="2">
        <v>4</v>
      </c>
      <c r="E8" s="16">
        <v>0.41111111111111109</v>
      </c>
      <c r="F8" s="2" t="s">
        <v>40</v>
      </c>
      <c r="G8" s="3">
        <v>0.39513888888888887</v>
      </c>
      <c r="H8" s="3">
        <v>0.375</v>
      </c>
      <c r="I8" s="3">
        <f t="shared" si="0"/>
        <v>0.375</v>
      </c>
      <c r="J8" s="3">
        <f>IF(G8&gt;I8,G8-I8,0)</f>
        <v>2.0138888888888873E-2</v>
      </c>
      <c r="K8" s="3">
        <f>IF(I8&gt;G8,I8-G8,0)</f>
        <v>0</v>
      </c>
      <c r="L8" s="3">
        <v>0</v>
      </c>
      <c r="M8" s="3">
        <v>0</v>
      </c>
      <c r="N8" s="3">
        <v>0.10694444444444444</v>
      </c>
      <c r="O8" s="2" t="s">
        <v>23</v>
      </c>
      <c r="P8" s="2" t="s">
        <v>24</v>
      </c>
      <c r="Q8" s="2"/>
      <c r="R8" s="2"/>
      <c r="S8" s="2"/>
      <c r="U8" s="15"/>
      <c r="V8" s="15"/>
    </row>
    <row r="9" spans="1:22" x14ac:dyDescent="0.25">
      <c r="A9" s="2"/>
      <c r="B9" s="2" t="s">
        <v>41</v>
      </c>
      <c r="C9" s="2" t="s">
        <v>42</v>
      </c>
      <c r="D9" s="2">
        <v>2</v>
      </c>
      <c r="E9" s="2" t="s">
        <v>43</v>
      </c>
      <c r="F9" s="2" t="s">
        <v>44</v>
      </c>
      <c r="G9" s="3">
        <v>0.40902777777777799</v>
      </c>
      <c r="H9" s="3">
        <v>0.375</v>
      </c>
      <c r="I9" s="3">
        <f t="shared" si="0"/>
        <v>0.375</v>
      </c>
      <c r="J9" s="3">
        <f>IF(G9&gt;I9,G9-I9,0)</f>
        <v>3.402777777777799E-2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22" x14ac:dyDescent="0.25">
      <c r="A10" s="2"/>
      <c r="B10" s="2" t="s">
        <v>19</v>
      </c>
      <c r="C10" s="2" t="s">
        <v>45</v>
      </c>
      <c r="D10" s="2">
        <v>2</v>
      </c>
      <c r="E10" s="2" t="s">
        <v>46</v>
      </c>
      <c r="F10" s="2" t="s">
        <v>47</v>
      </c>
      <c r="G10" s="3">
        <v>0.39444444444444399</v>
      </c>
      <c r="H10" s="3">
        <v>0.33333333333333298</v>
      </c>
      <c r="I10" s="3">
        <f t="shared" si="0"/>
        <v>0.33333333333333298</v>
      </c>
      <c r="J10" s="3">
        <f>IF(G10&gt;I10,G10-I10,0)</f>
        <v>6.1111111111111005E-2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22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22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22" x14ac:dyDescent="0.25">
      <c r="A13" s="2"/>
      <c r="B13" s="2" t="s">
        <v>30</v>
      </c>
      <c r="C13" s="2" t="s">
        <v>50</v>
      </c>
      <c r="D13" s="2">
        <v>4</v>
      </c>
      <c r="E13" s="2" t="s">
        <v>51</v>
      </c>
      <c r="F13" s="2" t="s">
        <v>52</v>
      </c>
      <c r="G13" s="3">
        <v>0.39583333333333298</v>
      </c>
      <c r="H13" s="3">
        <v>0.375</v>
      </c>
      <c r="I13" s="3">
        <f t="shared" ref="I13:I18" si="1">MAX(H13-IF(R13="",0,R13),0)</f>
        <v>0.3125</v>
      </c>
      <c r="J13" s="3">
        <f>IF(G13&gt;I13,G13-I13,0)</f>
        <v>8.3333333333332982E-2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3">
        <v>6.25E-2</v>
      </c>
      <c r="S13" s="2"/>
    </row>
    <row r="14" spans="1:22" x14ac:dyDescent="0.25">
      <c r="A14" s="2"/>
      <c r="B14" s="2" t="s">
        <v>34</v>
      </c>
      <c r="C14" s="2" t="s">
        <v>53</v>
      </c>
      <c r="D14" s="2">
        <v>2</v>
      </c>
      <c r="E14" s="2" t="s">
        <v>54</v>
      </c>
      <c r="F14" s="2" t="s">
        <v>55</v>
      </c>
      <c r="G14" s="3">
        <v>0.29236111111111102</v>
      </c>
      <c r="H14" s="3">
        <v>0.375</v>
      </c>
      <c r="I14" s="3">
        <f t="shared" si="1"/>
        <v>0.25</v>
      </c>
      <c r="J14" s="3">
        <f>IF(G14&gt;I14,G14-I14,0)</f>
        <v>4.2361111111111016E-2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3">
        <v>0.125</v>
      </c>
      <c r="S14" s="2"/>
    </row>
    <row r="15" spans="1:22" x14ac:dyDescent="0.25">
      <c r="A15" s="2"/>
      <c r="B15" s="2" t="s">
        <v>38</v>
      </c>
      <c r="C15" s="2" t="s">
        <v>56</v>
      </c>
      <c r="D15" s="2">
        <v>4</v>
      </c>
      <c r="E15" s="2" t="s">
        <v>57</v>
      </c>
      <c r="F15" s="2" t="s">
        <v>58</v>
      </c>
      <c r="G15" s="3">
        <v>0.38888888888888901</v>
      </c>
      <c r="H15" s="3">
        <v>0.375</v>
      </c>
      <c r="I15" s="3">
        <f t="shared" si="1"/>
        <v>0.33333333333333331</v>
      </c>
      <c r="J15" s="3">
        <f>IF(G15&gt;I15,G15-I15,0)</f>
        <v>5.5555555555555691E-2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3">
        <v>4.1666666666666699E-2</v>
      </c>
      <c r="S15" s="2"/>
    </row>
    <row r="16" spans="1:22" x14ac:dyDescent="0.25">
      <c r="A16" s="2"/>
      <c r="B16" s="2" t="s">
        <v>41</v>
      </c>
      <c r="C16" s="2" t="s">
        <v>59</v>
      </c>
      <c r="D16" s="2">
        <v>2</v>
      </c>
      <c r="E16" s="2" t="s">
        <v>60</v>
      </c>
      <c r="F16" s="2" t="s">
        <v>61</v>
      </c>
      <c r="G16" s="3">
        <v>0.405555555555556</v>
      </c>
      <c r="H16" s="3">
        <v>0.375</v>
      </c>
      <c r="I16" s="3">
        <f t="shared" si="1"/>
        <v>0.375</v>
      </c>
      <c r="J16" s="3">
        <f>IF(G16&gt;I16,G16-I16,0)</f>
        <v>3.0555555555556002E-2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4</v>
      </c>
      <c r="E17" s="2" t="s">
        <v>63</v>
      </c>
      <c r="F17" s="2" t="s">
        <v>64</v>
      </c>
      <c r="G17" s="3">
        <v>0.36666666666666697</v>
      </c>
      <c r="H17" s="3">
        <v>0.33333333333333298</v>
      </c>
      <c r="I17" s="3">
        <f t="shared" si="1"/>
        <v>0.33333333333333298</v>
      </c>
      <c r="J17" s="3">
        <f>IF(G17&gt;I17,G17-I17,0)</f>
        <v>3.3333333333333992E-2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4</v>
      </c>
      <c r="E20" s="2" t="s">
        <v>68</v>
      </c>
      <c r="F20" s="2" t="s">
        <v>69</v>
      </c>
      <c r="G20" s="3">
        <v>0.38750000000000001</v>
      </c>
      <c r="H20" s="3">
        <v>0.375</v>
      </c>
      <c r="I20" s="3">
        <f t="shared" ref="I20:I25" si="2">MAX(H20-IF(R20="",0,R20),0)</f>
        <v>0.33333333333333331</v>
      </c>
      <c r="J20" s="3">
        <f>IF(G20&gt;I20,G20-I20,0)</f>
        <v>5.4166666666666696E-2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3">
        <v>4.1666666666666699E-2</v>
      </c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51</v>
      </c>
      <c r="F21" s="2" t="s">
        <v>71</v>
      </c>
      <c r="G21" s="3">
        <v>0.41041666666666698</v>
      </c>
      <c r="H21" s="3">
        <v>0.375</v>
      </c>
      <c r="I21" s="3">
        <f t="shared" si="2"/>
        <v>0.375</v>
      </c>
      <c r="J21" s="3">
        <f>IF(G21&gt;I21,G21-I21,0)</f>
        <v>3.5416666666666985E-2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73</v>
      </c>
      <c r="F22" s="2" t="s">
        <v>74</v>
      </c>
      <c r="G22" s="3">
        <v>0.41597222222222202</v>
      </c>
      <c r="H22" s="3">
        <v>0.375</v>
      </c>
      <c r="I22" s="3">
        <f t="shared" si="2"/>
        <v>0.375</v>
      </c>
      <c r="J22" s="3">
        <f>IF(G22&gt;I22,G22-I22,0)</f>
        <v>4.0972222222222021E-2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76</v>
      </c>
      <c r="F23" s="2" t="s">
        <v>77</v>
      </c>
      <c r="G23" s="3">
        <v>0.44791666666666702</v>
      </c>
      <c r="H23" s="3">
        <v>0.375</v>
      </c>
      <c r="I23" s="3">
        <f t="shared" si="2"/>
        <v>0.375</v>
      </c>
      <c r="J23" s="3">
        <f>IF(G23&gt;I23,G23-I23,0)</f>
        <v>7.2916666666667018E-2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3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79</v>
      </c>
      <c r="F24" s="2" t="s">
        <v>80</v>
      </c>
      <c r="G24" s="3">
        <v>0.436805555555556</v>
      </c>
      <c r="H24" s="3">
        <v>0.33333333333333298</v>
      </c>
      <c r="I24" s="3">
        <f t="shared" si="2"/>
        <v>0.33333333333333298</v>
      </c>
      <c r="J24" s="3">
        <f>IF(G24&gt;I24,G24-I24,0)</f>
        <v>0.10347222222222302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84</v>
      </c>
      <c r="F27" s="2" t="s">
        <v>85</v>
      </c>
      <c r="G27" s="3">
        <v>0.4375</v>
      </c>
      <c r="H27" s="3">
        <v>0.375</v>
      </c>
      <c r="I27" s="3">
        <f t="shared" ref="I27:I32" si="3">MAX(H27-IF(R27="",0,R27),0)</f>
        <v>0.375</v>
      </c>
      <c r="J27" s="3">
        <f>IF(G27&gt;I27,G27-I27,0)</f>
        <v>6.25E-2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87</v>
      </c>
      <c r="F28" s="2" t="s">
        <v>88</v>
      </c>
      <c r="G28" s="3">
        <v>0.36388888888888898</v>
      </c>
      <c r="H28" s="3">
        <v>0.375</v>
      </c>
      <c r="I28" s="3">
        <f t="shared" si="3"/>
        <v>0.375</v>
      </c>
      <c r="J28" s="3">
        <f>IF(G28&gt;I28,G28-I28,0)</f>
        <v>0</v>
      </c>
      <c r="K28" s="3">
        <f>IF(I28&gt;G28,I28-G28,0)</f>
        <v>1.1111111111111016E-2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90</v>
      </c>
      <c r="F29" s="2" t="s">
        <v>91</v>
      </c>
      <c r="G29" s="3">
        <v>0.47361111111111098</v>
      </c>
      <c r="H29" s="3">
        <v>0.375</v>
      </c>
      <c r="I29" s="3">
        <f t="shared" si="3"/>
        <v>0.375</v>
      </c>
      <c r="J29" s="3">
        <f>IF(G29&gt;I29,G29-I29,0)</f>
        <v>9.8611111111110983E-2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93</v>
      </c>
      <c r="F30" s="2" t="s">
        <v>94</v>
      </c>
      <c r="G30" s="3">
        <v>0.38541666666666702</v>
      </c>
      <c r="H30" s="3">
        <v>0.375</v>
      </c>
      <c r="I30" s="3">
        <f t="shared" si="3"/>
        <v>0.375</v>
      </c>
      <c r="J30" s="3">
        <f>IF(G30&gt;I30,G30-I30,0)</f>
        <v>1.0416666666667018E-2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96</v>
      </c>
      <c r="F31" s="2" t="s">
        <v>97</v>
      </c>
      <c r="G31" s="3">
        <v>0.44861111111111102</v>
      </c>
      <c r="H31" s="3">
        <v>0.33333333333333298</v>
      </c>
      <c r="I31" s="3">
        <f t="shared" si="3"/>
        <v>0.33333333333333298</v>
      </c>
      <c r="J31" s="3">
        <f>IF(G31&gt;I31,G31-I31,0)</f>
        <v>0.11527777777777803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3"/>
      <c r="S31" s="2"/>
    </row>
    <row r="32" spans="1:19" x14ac:dyDescent="0.25">
      <c r="A32" s="4"/>
      <c r="B32" s="4" t="s">
        <v>25</v>
      </c>
      <c r="C32" s="4" t="s">
        <v>98</v>
      </c>
      <c r="D32" s="4">
        <v>2</v>
      </c>
      <c r="E32" s="4" t="s">
        <v>99</v>
      </c>
      <c r="F32" s="4" t="s">
        <v>100</v>
      </c>
      <c r="G32" s="5">
        <v>5.2777777777777798E-2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5.2777777777777798E-2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54</v>
      </c>
      <c r="E34" s="8"/>
      <c r="F34" s="8"/>
      <c r="G34" s="9">
        <f t="shared" ref="G34:N34" si="4">SUM(G3:G33)</f>
        <v>8.7263888888888914</v>
      </c>
      <c r="H34" s="9">
        <f t="shared" si="4"/>
        <v>7.6666666666666652</v>
      </c>
      <c r="I34" s="9">
        <f t="shared" si="4"/>
        <v>7.3958333333333321</v>
      </c>
      <c r="J34" s="9">
        <f t="shared" si="4"/>
        <v>1.2888888888888912</v>
      </c>
      <c r="K34" s="9">
        <f t="shared" si="4"/>
        <v>1.1111111111111016E-2</v>
      </c>
      <c r="L34" s="9">
        <f t="shared" si="4"/>
        <v>0</v>
      </c>
      <c r="M34" s="9">
        <f t="shared" si="4"/>
        <v>5.2777777777777798E-2</v>
      </c>
      <c r="N34" s="9">
        <f t="shared" si="4"/>
        <v>0.10694444444444444</v>
      </c>
      <c r="O34" s="8"/>
      <c r="P34" s="8"/>
      <c r="Q34" s="8">
        <f>SUM(Q3:Q33)</f>
        <v>0</v>
      </c>
      <c r="R34" s="9">
        <f>SUM(R3:R33)</f>
        <v>0.27083333333333337</v>
      </c>
      <c r="S34" s="8">
        <f>SUM(S3:S33)</f>
        <v>0</v>
      </c>
    </row>
    <row r="36" spans="1:19" ht="15.75" x14ac:dyDescent="0.25">
      <c r="H36" s="10">
        <v>1.25</v>
      </c>
      <c r="I36" s="11" t="s">
        <v>403</v>
      </c>
    </row>
    <row r="37" spans="1:19" ht="15.75" x14ac:dyDescent="0.25">
      <c r="H37" s="10">
        <f>IF(J34&gt;=K34, J34-K34, 0)</f>
        <v>1.2777777777777801</v>
      </c>
      <c r="I37" s="11" t="s">
        <v>103</v>
      </c>
    </row>
    <row r="38" spans="1:19" ht="15.75" x14ac:dyDescent="0.25">
      <c r="H38" s="10">
        <f>IF(K34&lt;=J34, M34, IF(K34&lt;=J34+M34, J34+M34-K34, 0))</f>
        <v>5.2777777777777798E-2</v>
      </c>
      <c r="I38" s="11" t="s">
        <v>104</v>
      </c>
    </row>
    <row r="39" spans="1:19" ht="15.75" x14ac:dyDescent="0.25">
      <c r="H39" s="10">
        <f>L34</f>
        <v>0</v>
      </c>
      <c r="I39" s="11" t="s">
        <v>11</v>
      </c>
    </row>
    <row r="40" spans="1:19" ht="15.75" x14ac:dyDescent="0.25">
      <c r="H40" s="10">
        <f>N34</f>
        <v>0.10694444444444444</v>
      </c>
      <c r="I40" s="11" t="s">
        <v>105</v>
      </c>
    </row>
    <row r="41" spans="1:19" ht="15.75" x14ac:dyDescent="0.25">
      <c r="H41" s="10">
        <f>IF(K34&gt;J34+M34, K34-J34-M34, 0)</f>
        <v>0</v>
      </c>
      <c r="I41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rightToLeft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M34" activeCellId="1" sqref="J34 M34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107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108</v>
      </c>
      <c r="F3" s="2" t="s">
        <v>109</v>
      </c>
      <c r="G3" s="3">
        <v>0.54861111111111105</v>
      </c>
      <c r="H3" s="3">
        <v>0.33333333333333298</v>
      </c>
      <c r="I3" s="3">
        <f>MAX(H3-IF(R3="",0,R3),0)</f>
        <v>0.33333333333333298</v>
      </c>
      <c r="J3" s="3">
        <f>IF(G3&gt;I3,G3-I3,0)</f>
        <v>0.21527777777777807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>
        <v>2</v>
      </c>
      <c r="E4" s="4" t="s">
        <v>110</v>
      </c>
      <c r="F4" s="4" t="s">
        <v>111</v>
      </c>
      <c r="G4" s="5">
        <v>0.42708333333333298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0.42708333333333298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>
        <v>2</v>
      </c>
      <c r="E5" s="6" t="s">
        <v>112</v>
      </c>
      <c r="F5" s="6" t="s">
        <v>113</v>
      </c>
      <c r="G5" s="7">
        <v>6.25E-2</v>
      </c>
      <c r="H5" s="7">
        <v>0</v>
      </c>
      <c r="I5" s="7">
        <v>0</v>
      </c>
      <c r="J5" s="7">
        <v>0</v>
      </c>
      <c r="K5" s="7">
        <v>0</v>
      </c>
      <c r="L5" s="7">
        <v>6.25E-2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110</v>
      </c>
      <c r="F6" s="2" t="s">
        <v>114</v>
      </c>
      <c r="G6" s="3">
        <v>0.5625</v>
      </c>
      <c r="H6" s="3">
        <v>0.375</v>
      </c>
      <c r="I6" s="3">
        <f t="shared" ref="I6:I11" si="0">MAX(H6-IF(R6="",0,R6),0)</f>
        <v>0.375</v>
      </c>
      <c r="J6" s="3">
        <f>IF(G6&gt;I6,G6-I6,0)</f>
        <v>0.1875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115</v>
      </c>
      <c r="F7" s="2" t="s">
        <v>116</v>
      </c>
      <c r="G7" s="3">
        <v>0.60416666666666696</v>
      </c>
      <c r="H7" s="3">
        <v>0.375</v>
      </c>
      <c r="I7" s="3">
        <f t="shared" si="0"/>
        <v>0.375</v>
      </c>
      <c r="J7" s="3">
        <f>IF(G7&gt;I7,G7-I7,0)</f>
        <v>0.22916666666666696</v>
      </c>
      <c r="K7" s="3">
        <f>IF(I7&gt;G7,I7-G7,0)</f>
        <v>0</v>
      </c>
      <c r="L7" s="3">
        <v>0</v>
      </c>
      <c r="M7" s="3">
        <v>0</v>
      </c>
      <c r="N7" s="3">
        <v>1.38888888888889E-2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117</v>
      </c>
      <c r="F8" s="2" t="s">
        <v>118</v>
      </c>
      <c r="G8" s="3">
        <v>0.63888888888888895</v>
      </c>
      <c r="H8" s="3">
        <v>0.375</v>
      </c>
      <c r="I8" s="3">
        <f t="shared" si="0"/>
        <v>0.375</v>
      </c>
      <c r="J8" s="3">
        <f>IF(G8&gt;I8,G8-I8,0)</f>
        <v>0.26388888888888895</v>
      </c>
      <c r="K8" s="3">
        <f>IF(I8&gt;G8,I8-G8,0)</f>
        <v>0</v>
      </c>
      <c r="L8" s="3">
        <v>0</v>
      </c>
      <c r="M8" s="3">
        <v>0</v>
      </c>
      <c r="N8" s="3">
        <v>5.5555555555555601E-2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/>
      <c r="E9" s="2" t="s">
        <v>27</v>
      </c>
      <c r="F9" s="2" t="s">
        <v>27</v>
      </c>
      <c r="G9" s="3">
        <v>0</v>
      </c>
      <c r="H9" s="3">
        <v>0.375</v>
      </c>
      <c r="I9" s="3">
        <v>0</v>
      </c>
      <c r="J9" s="3">
        <f>IF(G9&gt;I9,G9-I9,0)</f>
        <v>0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>
        <v>1</v>
      </c>
      <c r="R9" s="2"/>
      <c r="S9" s="2"/>
    </row>
    <row r="10" spans="1:19" x14ac:dyDescent="0.25">
      <c r="A10" s="2"/>
      <c r="B10" s="2" t="s">
        <v>19</v>
      </c>
      <c r="C10" s="2" t="s">
        <v>45</v>
      </c>
      <c r="D10" s="2"/>
      <c r="E10" s="2" t="s">
        <v>27</v>
      </c>
      <c r="F10" s="2" t="s">
        <v>27</v>
      </c>
      <c r="G10" s="3">
        <v>0</v>
      </c>
      <c r="H10" s="3">
        <v>0.33333333333333298</v>
      </c>
      <c r="I10" s="3">
        <v>0</v>
      </c>
      <c r="J10" s="3">
        <f>IF(G10&gt;I10,G10-I10,0)</f>
        <v>0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>
        <v>1</v>
      </c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/>
      <c r="E13" s="2" t="s">
        <v>27</v>
      </c>
      <c r="F13" s="2" t="s">
        <v>27</v>
      </c>
      <c r="G13" s="3">
        <v>0</v>
      </c>
      <c r="H13" s="3">
        <v>0.375</v>
      </c>
      <c r="I13" s="3">
        <v>0</v>
      </c>
      <c r="J13" s="3">
        <f>IF(G13&gt;I13,G13-I13,0)</f>
        <v>0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>
        <v>1</v>
      </c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/>
      <c r="E14" s="2" t="s">
        <v>27</v>
      </c>
      <c r="F14" s="2" t="s">
        <v>27</v>
      </c>
      <c r="G14" s="3">
        <v>0</v>
      </c>
      <c r="H14" s="3">
        <v>0.375</v>
      </c>
      <c r="I14" s="3">
        <v>0</v>
      </c>
      <c r="J14" s="3">
        <f>IF(G14&gt;I14,G14-I14,0)</f>
        <v>0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>
        <v>1</v>
      </c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/>
      <c r="E15" s="2" t="s">
        <v>27</v>
      </c>
      <c r="F15" s="2" t="s">
        <v>27</v>
      </c>
      <c r="G15" s="3">
        <v>0</v>
      </c>
      <c r="H15" s="3">
        <v>0.375</v>
      </c>
      <c r="I15" s="3">
        <v>0</v>
      </c>
      <c r="J15" s="3">
        <f>IF(G15&gt;I15,G15-I15,0)</f>
        <v>0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>
        <v>1</v>
      </c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119</v>
      </c>
      <c r="F16" s="2" t="s">
        <v>120</v>
      </c>
      <c r="G16" s="3">
        <v>0.62152777777777801</v>
      </c>
      <c r="H16" s="3">
        <v>0.375</v>
      </c>
      <c r="I16" s="3">
        <v>0</v>
      </c>
      <c r="J16" s="3">
        <f>IF(G16&gt;I16,G16-I16,0)</f>
        <v>0.62152777777777801</v>
      </c>
      <c r="K16" s="3">
        <f>IF(I16&gt;G16,I16-G16,0)</f>
        <v>0</v>
      </c>
      <c r="L16" s="3">
        <v>0</v>
      </c>
      <c r="M16" s="3">
        <v>0</v>
      </c>
      <c r="N16" s="3">
        <v>4.8611111111111098E-2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121</v>
      </c>
      <c r="F17" s="2" t="s">
        <v>118</v>
      </c>
      <c r="G17" s="3">
        <v>0.61805555555555602</v>
      </c>
      <c r="H17" s="3">
        <v>0.33333333333333298</v>
      </c>
      <c r="I17" s="3">
        <f t="shared" ref="I17:I18" si="1">MAX(H17-IF(R17="",0,R17),0)</f>
        <v>0.33333333333333298</v>
      </c>
      <c r="J17" s="3">
        <f>IF(G17&gt;I17,G17-I17,0)</f>
        <v>0.28472222222222304</v>
      </c>
      <c r="K17" s="3">
        <f>IF(I17&gt;G17,I17-G17,0)</f>
        <v>0</v>
      </c>
      <c r="L17" s="3">
        <v>0</v>
      </c>
      <c r="M17" s="3">
        <v>0</v>
      </c>
      <c r="N17" s="3">
        <v>5.5555555555555601E-2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>
        <v>2</v>
      </c>
      <c r="E18" s="4" t="s">
        <v>117</v>
      </c>
      <c r="F18" s="4" t="s">
        <v>122</v>
      </c>
      <c r="G18" s="5">
        <v>0.48611111111111099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0.48611111111111099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117</v>
      </c>
      <c r="F20" s="2" t="s">
        <v>123</v>
      </c>
      <c r="G20" s="3">
        <v>0.53819444444444398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0.16319444444444398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110</v>
      </c>
      <c r="F21" s="2" t="s">
        <v>124</v>
      </c>
      <c r="G21" s="3">
        <v>0.57291666666666696</v>
      </c>
      <c r="H21" s="3">
        <v>0.375</v>
      </c>
      <c r="I21" s="3">
        <f t="shared" si="2"/>
        <v>0.375</v>
      </c>
      <c r="J21" s="3">
        <f>IF(G21&gt;I21,G21-I21,0)</f>
        <v>0.19791666666666696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125</v>
      </c>
      <c r="F22" s="2" t="s">
        <v>126</v>
      </c>
      <c r="G22" s="3">
        <v>0.62847222222222199</v>
      </c>
      <c r="H22" s="3">
        <v>0.375</v>
      </c>
      <c r="I22" s="3">
        <f t="shared" si="2"/>
        <v>0.375</v>
      </c>
      <c r="J22" s="3">
        <f>IF(G22&gt;I22,G22-I22,0)</f>
        <v>0.25347222222222199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117</v>
      </c>
      <c r="F23" s="2" t="s">
        <v>124</v>
      </c>
      <c r="G23" s="3">
        <v>0.5625</v>
      </c>
      <c r="H23" s="3">
        <v>0.375</v>
      </c>
      <c r="I23" s="3">
        <f t="shared" si="2"/>
        <v>0.375</v>
      </c>
      <c r="J23" s="3">
        <f>IF(G23&gt;I23,G23-I23,0)</f>
        <v>0.1875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127</v>
      </c>
      <c r="F24" s="2" t="s">
        <v>128</v>
      </c>
      <c r="G24" s="3">
        <v>0.61458333333333304</v>
      </c>
      <c r="H24" s="3">
        <v>0.33333333333333298</v>
      </c>
      <c r="I24" s="3">
        <f t="shared" si="2"/>
        <v>0.33333333333333298</v>
      </c>
      <c r="J24" s="3">
        <f>IF(G24&gt;I24,G24-I24,0)</f>
        <v>0.28125000000000006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>
        <v>2</v>
      </c>
      <c r="E25" s="4" t="s">
        <v>129</v>
      </c>
      <c r="F25" s="4" t="s">
        <v>130</v>
      </c>
      <c r="G25" s="5">
        <v>0.22916666666666699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0.22916666666666699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>
        <v>2</v>
      </c>
      <c r="E26" s="6" t="s">
        <v>131</v>
      </c>
      <c r="F26" s="6" t="s">
        <v>132</v>
      </c>
      <c r="G26" s="7">
        <v>0.125</v>
      </c>
      <c r="H26" s="7">
        <v>0</v>
      </c>
      <c r="I26" s="7">
        <v>0</v>
      </c>
      <c r="J26" s="7">
        <v>0</v>
      </c>
      <c r="K26" s="7">
        <v>0</v>
      </c>
      <c r="L26" s="7">
        <v>0.125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133</v>
      </c>
      <c r="F27" s="2" t="s">
        <v>134</v>
      </c>
      <c r="G27" s="3">
        <v>0.57291666666666696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0.19791666666666696</v>
      </c>
      <c r="K27" s="3">
        <f>IF(I27&gt;G27,I27-G27,0)</f>
        <v>0</v>
      </c>
      <c r="L27" s="3">
        <v>0</v>
      </c>
      <c r="M27" s="3">
        <v>0</v>
      </c>
      <c r="N27" s="3">
        <v>2.0833333333333301E-2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129</v>
      </c>
      <c r="F28" s="2" t="s">
        <v>135</v>
      </c>
      <c r="G28" s="3">
        <v>0.57291666666666696</v>
      </c>
      <c r="H28" s="3">
        <v>0.375</v>
      </c>
      <c r="I28" s="3">
        <f t="shared" si="3"/>
        <v>0.375</v>
      </c>
      <c r="J28" s="3">
        <f>IF(G28&gt;I28,G28-I28,0)</f>
        <v>0.19791666666666696</v>
      </c>
      <c r="K28" s="3">
        <f>IF(I28&gt;G28,I28-G28,0)</f>
        <v>0</v>
      </c>
      <c r="L28" s="3">
        <v>0</v>
      </c>
      <c r="M28" s="3">
        <v>0</v>
      </c>
      <c r="N28" s="3">
        <v>3.125E-2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43</v>
      </c>
      <c r="F29" s="2" t="s">
        <v>126</v>
      </c>
      <c r="G29" s="3">
        <v>0.51736111111111105</v>
      </c>
      <c r="H29" s="3">
        <v>0.375</v>
      </c>
      <c r="I29" s="3">
        <f t="shared" si="3"/>
        <v>0.375</v>
      </c>
      <c r="J29" s="3">
        <f>IF(G29&gt;I29,G29-I29,0)</f>
        <v>0.14236111111111105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136</v>
      </c>
      <c r="F30" s="2" t="s">
        <v>137</v>
      </c>
      <c r="G30" s="3">
        <v>0.51736111111111105</v>
      </c>
      <c r="H30" s="3">
        <v>0.375</v>
      </c>
      <c r="I30" s="3">
        <f t="shared" si="3"/>
        <v>0.375</v>
      </c>
      <c r="J30" s="3">
        <f>IF(G30&gt;I30,G30-I30,0)</f>
        <v>0.14236111111111105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138</v>
      </c>
      <c r="F31" s="2" t="s">
        <v>139</v>
      </c>
      <c r="G31" s="3">
        <v>0.53472222222222199</v>
      </c>
      <c r="H31" s="3">
        <v>0.33333333333333298</v>
      </c>
      <c r="I31" s="3">
        <f t="shared" si="3"/>
        <v>0.33333333333333298</v>
      </c>
      <c r="J31" s="3">
        <f>IF(G31&gt;I31,G31-I31,0)</f>
        <v>0.20138888888888901</v>
      </c>
      <c r="K31" s="3">
        <f>IF(I31&gt;G31,I31-G31,0)</f>
        <v>0</v>
      </c>
      <c r="L31" s="3">
        <v>0</v>
      </c>
      <c r="M31" s="3">
        <v>0</v>
      </c>
      <c r="N31" s="3">
        <v>3.4722222222222199E-3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>
        <v>2</v>
      </c>
      <c r="E32" s="4" t="s">
        <v>117</v>
      </c>
      <c r="F32" s="4" t="s">
        <v>37</v>
      </c>
      <c r="G32" s="5">
        <v>0.45833333333333298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0.45833333333333298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44</v>
      </c>
      <c r="E34" s="8"/>
      <c r="F34" s="8"/>
      <c r="G34" s="9">
        <f t="shared" ref="G34:N34" si="4">SUM(G3:G33)</f>
        <v>11.013888888888886</v>
      </c>
      <c r="H34" s="9">
        <f t="shared" si="4"/>
        <v>7.6666666666666652</v>
      </c>
      <c r="I34" s="9">
        <f t="shared" si="4"/>
        <v>5.4583333333333321</v>
      </c>
      <c r="J34" s="9">
        <f t="shared" si="4"/>
        <v>3.7673611111111129</v>
      </c>
      <c r="K34" s="9">
        <f t="shared" si="4"/>
        <v>0</v>
      </c>
      <c r="L34" s="9">
        <f t="shared" si="4"/>
        <v>0.1875</v>
      </c>
      <c r="M34" s="9">
        <f t="shared" si="4"/>
        <v>1.600694444444444</v>
      </c>
      <c r="N34" s="9">
        <f t="shared" si="4"/>
        <v>0.22916666666666674</v>
      </c>
      <c r="O34" s="8"/>
      <c r="P34" s="8"/>
      <c r="Q34" s="8">
        <f>SUM(Q3:Q33)</f>
        <v>5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3.7673611111111129</v>
      </c>
      <c r="I36" s="11" t="s">
        <v>103</v>
      </c>
    </row>
    <row r="37" spans="1:19" ht="15.75" x14ac:dyDescent="0.25">
      <c r="H37" s="10">
        <f>IF(K34&lt;=J34, M34, IF(K34&lt;=J34+M34, J34+M34-K34, 0))</f>
        <v>1.600694444444444</v>
      </c>
      <c r="I37" s="33" t="s">
        <v>397</v>
      </c>
    </row>
    <row r="38" spans="1:19" ht="15.75" x14ac:dyDescent="0.25">
      <c r="H38" s="10">
        <f>L34</f>
        <v>0.1875</v>
      </c>
      <c r="I38" s="11" t="s">
        <v>11</v>
      </c>
    </row>
    <row r="39" spans="1:19" ht="15.75" x14ac:dyDescent="0.25">
      <c r="H39" s="10">
        <f>N34</f>
        <v>0.22916666666666674</v>
      </c>
      <c r="I39" s="11" t="s">
        <v>105</v>
      </c>
    </row>
    <row r="40" spans="1:19" ht="15.75" x14ac:dyDescent="0.25">
      <c r="H40" s="10">
        <f>IF(K34&gt;J34+M34, K34-J34-M34, 0)</f>
        <v>0</v>
      </c>
      <c r="I40" s="11" t="s">
        <v>106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rightToLeft="1"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D38" sqref="D38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140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/>
      <c r="E3" s="2" t="s">
        <v>27</v>
      </c>
      <c r="F3" s="2" t="s">
        <v>27</v>
      </c>
      <c r="G3" s="3">
        <v>0</v>
      </c>
      <c r="H3" s="3">
        <v>0.33333333333333298</v>
      </c>
      <c r="I3" s="3">
        <v>0</v>
      </c>
      <c r="J3" s="3">
        <f>IF(G3&gt;I3,G3-I3,0)</f>
        <v>0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>
        <v>1</v>
      </c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141</v>
      </c>
      <c r="F6" s="2" t="s">
        <v>142</v>
      </c>
      <c r="G6" s="3">
        <v>0.593055555555556</v>
      </c>
      <c r="H6" s="3">
        <v>0.375</v>
      </c>
      <c r="I6" s="3">
        <f t="shared" ref="I6:I11" si="0">MAX(H6-IF(R6="",0,R6),0)</f>
        <v>0.375</v>
      </c>
      <c r="J6" s="3">
        <f>IF(G6&gt;I6,G6-I6,0)</f>
        <v>0.218055555555556</v>
      </c>
      <c r="K6" s="3">
        <f>IF(I6&gt;G6,I6-G6,0)</f>
        <v>0</v>
      </c>
      <c r="L6" s="3">
        <v>0</v>
      </c>
      <c r="M6" s="3">
        <v>0</v>
      </c>
      <c r="N6" s="3">
        <v>8.3333333333333297E-3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143</v>
      </c>
      <c r="F7" s="2" t="s">
        <v>144</v>
      </c>
      <c r="G7" s="3">
        <v>0.60555555555555596</v>
      </c>
      <c r="H7" s="3">
        <v>0.375</v>
      </c>
      <c r="I7" s="3">
        <f t="shared" si="0"/>
        <v>0.375</v>
      </c>
      <c r="J7" s="3">
        <f>IF(G7&gt;I7,G7-I7,0)</f>
        <v>0.23055555555555596</v>
      </c>
      <c r="K7" s="3">
        <f>IF(I7&gt;G7,I7-G7,0)</f>
        <v>0</v>
      </c>
      <c r="L7" s="3">
        <v>0</v>
      </c>
      <c r="M7" s="3">
        <v>0</v>
      </c>
      <c r="N7" s="3">
        <v>1.8055555555555599E-2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145</v>
      </c>
      <c r="F8" s="2" t="s">
        <v>146</v>
      </c>
      <c r="G8" s="3">
        <v>0.594444444444444</v>
      </c>
      <c r="H8" s="3">
        <v>0.375</v>
      </c>
      <c r="I8" s="3">
        <f t="shared" si="0"/>
        <v>0.375</v>
      </c>
      <c r="J8" s="3">
        <f>IF(G8&gt;I8,G8-I8,0)</f>
        <v>0.219444444444444</v>
      </c>
      <c r="K8" s="3">
        <f>IF(I8&gt;G8,I8-G8,0)</f>
        <v>0</v>
      </c>
      <c r="L8" s="3">
        <v>0</v>
      </c>
      <c r="M8" s="3">
        <v>0</v>
      </c>
      <c r="N8" s="3">
        <v>2.4305555555555601E-2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147</v>
      </c>
      <c r="F9" s="2" t="s">
        <v>148</v>
      </c>
      <c r="G9" s="3">
        <v>0.62777777777777799</v>
      </c>
      <c r="H9" s="3">
        <v>0.375</v>
      </c>
      <c r="I9" s="3">
        <f t="shared" si="0"/>
        <v>0.375</v>
      </c>
      <c r="J9" s="3">
        <f>IF(G9&gt;I9,G9-I9,0)</f>
        <v>0.25277777777777799</v>
      </c>
      <c r="K9" s="3">
        <f>IF(I9&gt;G9,I9-G9,0)</f>
        <v>0</v>
      </c>
      <c r="L9" s="3">
        <v>0</v>
      </c>
      <c r="M9" s="3">
        <v>0</v>
      </c>
      <c r="N9" s="3">
        <v>3.6111111111111101E-2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149</v>
      </c>
      <c r="F10" s="2" t="s">
        <v>134</v>
      </c>
      <c r="G10" s="3">
        <v>0.62708333333333299</v>
      </c>
      <c r="H10" s="3">
        <v>0.33333333333333298</v>
      </c>
      <c r="I10" s="3">
        <f t="shared" si="0"/>
        <v>0.33333333333333298</v>
      </c>
      <c r="J10" s="3">
        <f>IF(G10&gt;I10,G10-I10,0)</f>
        <v>0.29375000000000001</v>
      </c>
      <c r="K10" s="3">
        <f>IF(I10&gt;G10,I10-G10,0)</f>
        <v>0</v>
      </c>
      <c r="L10" s="3">
        <v>0</v>
      </c>
      <c r="M10" s="3">
        <v>0</v>
      </c>
      <c r="N10" s="3">
        <v>2.0833333333333301E-2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150</v>
      </c>
      <c r="F13" s="2" t="s">
        <v>151</v>
      </c>
      <c r="G13" s="3">
        <v>0.64861111111111103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0.27361111111111103</v>
      </c>
      <c r="K13" s="3">
        <f>IF(I13&gt;G13,I13-G13,0)</f>
        <v>0</v>
      </c>
      <c r="L13" s="3">
        <v>0</v>
      </c>
      <c r="M13" s="3">
        <v>0</v>
      </c>
      <c r="N13" s="3">
        <v>4.5833333333333302E-2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152</v>
      </c>
      <c r="F14" s="2" t="s">
        <v>153</v>
      </c>
      <c r="G14" s="3">
        <v>0.68055555555555602</v>
      </c>
      <c r="H14" s="3">
        <v>0.375</v>
      </c>
      <c r="I14" s="3">
        <f t="shared" si="1"/>
        <v>0.375</v>
      </c>
      <c r="J14" s="3">
        <f>IF(G14&gt;I14,G14-I14,0)</f>
        <v>0.30555555555555602</v>
      </c>
      <c r="K14" s="3">
        <f>IF(I14&gt;G14,I14-G14,0)</f>
        <v>0</v>
      </c>
      <c r="L14" s="3">
        <v>0</v>
      </c>
      <c r="M14" s="3">
        <v>0</v>
      </c>
      <c r="N14" s="3">
        <v>1.4583333333333301E-2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154</v>
      </c>
      <c r="F15" s="2" t="s">
        <v>155</v>
      </c>
      <c r="G15" s="3">
        <v>0.66874999999999996</v>
      </c>
      <c r="H15" s="3">
        <v>0.375</v>
      </c>
      <c r="I15" s="3">
        <f t="shared" si="1"/>
        <v>0.375</v>
      </c>
      <c r="J15" s="3">
        <f>IF(G15&gt;I15,G15-I15,0)</f>
        <v>0.29374999999999996</v>
      </c>
      <c r="K15" s="3">
        <f>IF(I15&gt;G15,I15-G15,0)</f>
        <v>0</v>
      </c>
      <c r="L15" s="3">
        <v>0</v>
      </c>
      <c r="M15" s="3">
        <v>0</v>
      </c>
      <c r="N15" s="3">
        <v>1.0416666666666701E-2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156</v>
      </c>
      <c r="F16" s="2" t="s">
        <v>157</v>
      </c>
      <c r="G16" s="3">
        <v>0.70972222222222203</v>
      </c>
      <c r="H16" s="3">
        <v>0.375</v>
      </c>
      <c r="I16" s="3">
        <f t="shared" si="1"/>
        <v>0.375</v>
      </c>
      <c r="J16" s="3">
        <f>IF(G16&gt;I16,G16-I16,0)</f>
        <v>0.33472222222222203</v>
      </c>
      <c r="K16" s="3">
        <f>IF(I16&gt;G16,I16-G16,0)</f>
        <v>0</v>
      </c>
      <c r="L16" s="3">
        <v>0</v>
      </c>
      <c r="M16" s="3">
        <v>0</v>
      </c>
      <c r="N16" s="3">
        <v>6.4583333333333298E-2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158</v>
      </c>
      <c r="F17" s="2" t="s">
        <v>159</v>
      </c>
      <c r="G17" s="3">
        <v>0.68958333333333299</v>
      </c>
      <c r="H17" s="3">
        <v>0.33333333333333298</v>
      </c>
      <c r="I17" s="3">
        <f t="shared" si="1"/>
        <v>0.33333333333333298</v>
      </c>
      <c r="J17" s="3">
        <f>IF(G17&gt;I17,G17-I17,0)</f>
        <v>0.35625000000000001</v>
      </c>
      <c r="K17" s="3">
        <f>IF(I17&gt;G17,I17-G17,0)</f>
        <v>0</v>
      </c>
      <c r="L17" s="3">
        <v>0</v>
      </c>
      <c r="M17" s="3">
        <v>0</v>
      </c>
      <c r="N17" s="3">
        <v>9.7222222222222196E-2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>
        <v>2</v>
      </c>
      <c r="E18" s="17">
        <v>0.33888888888888891</v>
      </c>
      <c r="F18" s="17">
        <v>0.82013888888888886</v>
      </c>
      <c r="G18" s="5">
        <v>0.48125000000000001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0.48125000000000001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160</v>
      </c>
      <c r="F20" s="2" t="s">
        <v>161</v>
      </c>
      <c r="G20" s="3">
        <v>0.65138888888888902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0.27638888888888902</v>
      </c>
      <c r="K20" s="3">
        <f>IF(I20&gt;G20,I20-G20,0)</f>
        <v>0</v>
      </c>
      <c r="L20" s="3">
        <v>0</v>
      </c>
      <c r="M20" s="3">
        <v>0</v>
      </c>
      <c r="N20" s="3">
        <v>5.4861111111111097E-2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162</v>
      </c>
      <c r="F21" s="2" t="s">
        <v>163</v>
      </c>
      <c r="G21" s="3">
        <v>0.63749999999999996</v>
      </c>
      <c r="H21" s="3">
        <v>0.375</v>
      </c>
      <c r="I21" s="3">
        <f t="shared" si="2"/>
        <v>0.375</v>
      </c>
      <c r="J21" s="3">
        <f>IF(G21&gt;I21,G21-I21,0)</f>
        <v>0.26249999999999996</v>
      </c>
      <c r="K21" s="3">
        <f>IF(I21&gt;G21,I21-G21,0)</f>
        <v>0</v>
      </c>
      <c r="L21" s="3">
        <v>0</v>
      </c>
      <c r="M21" s="3">
        <v>0</v>
      </c>
      <c r="N21" s="3">
        <v>4.2361111111111099E-2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164</v>
      </c>
      <c r="F22" s="2" t="s">
        <v>165</v>
      </c>
      <c r="G22" s="3">
        <v>0.64305555555555605</v>
      </c>
      <c r="H22" s="3">
        <v>0.375</v>
      </c>
      <c r="I22" s="3">
        <f t="shared" si="2"/>
        <v>0.375</v>
      </c>
      <c r="J22" s="3">
        <f>IF(G22&gt;I22,G22-I22,0)</f>
        <v>0.26805555555555605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4</v>
      </c>
      <c r="E23" s="2" t="s">
        <v>166</v>
      </c>
      <c r="F23" s="2" t="s">
        <v>167</v>
      </c>
      <c r="G23" s="3">
        <v>0.63124999999999998</v>
      </c>
      <c r="H23" s="3">
        <v>0.375</v>
      </c>
      <c r="I23" s="3">
        <f t="shared" si="2"/>
        <v>0.375</v>
      </c>
      <c r="J23" s="3">
        <f>IF(G23&gt;I23,G23-I23,0)</f>
        <v>0.25624999999999998</v>
      </c>
      <c r="K23" s="3">
        <f>IF(I23&gt;G23,I23-G23,0)</f>
        <v>0</v>
      </c>
      <c r="L23" s="3">
        <v>0</v>
      </c>
      <c r="M23" s="3">
        <v>0</v>
      </c>
      <c r="N23" s="3">
        <v>4.3055555555555597E-2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152</v>
      </c>
      <c r="F24" s="2" t="s">
        <v>168</v>
      </c>
      <c r="G24" s="3">
        <v>0.35</v>
      </c>
      <c r="H24" s="3">
        <v>0.33333333333333298</v>
      </c>
      <c r="I24" s="3">
        <f t="shared" si="2"/>
        <v>0.33333333333333298</v>
      </c>
      <c r="J24" s="3">
        <f>IF(G24&gt;I24,G24-I24,0)</f>
        <v>1.6666666666666996E-2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169</v>
      </c>
      <c r="F27" s="2" t="s">
        <v>170</v>
      </c>
      <c r="G27" s="3">
        <v>0.59722222222222199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0.22222222222222199</v>
      </c>
      <c r="K27" s="3">
        <f>IF(I27&gt;G27,I27-G27,0)</f>
        <v>0</v>
      </c>
      <c r="L27" s="3">
        <v>0</v>
      </c>
      <c r="M27" s="3">
        <v>0</v>
      </c>
      <c r="N27" s="3">
        <v>1.38888888888889E-3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171</v>
      </c>
      <c r="F28" s="2" t="s">
        <v>172</v>
      </c>
      <c r="G28" s="3">
        <v>0.59861111111111098</v>
      </c>
      <c r="H28" s="3">
        <v>0.375</v>
      </c>
      <c r="I28" s="3">
        <f t="shared" si="3"/>
        <v>0.375</v>
      </c>
      <c r="J28" s="3">
        <f>IF(G28&gt;I28,G28-I28,0)</f>
        <v>0.22361111111111098</v>
      </c>
      <c r="K28" s="3">
        <f>IF(I28&gt;G28,I28-G28,0)</f>
        <v>0</v>
      </c>
      <c r="L28" s="3">
        <v>0</v>
      </c>
      <c r="M28" s="3">
        <v>0</v>
      </c>
      <c r="N28" s="3">
        <v>7.6388888888888904E-3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173</v>
      </c>
      <c r="F29" s="2" t="s">
        <v>174</v>
      </c>
      <c r="G29" s="3">
        <v>0.60902777777777795</v>
      </c>
      <c r="H29" s="3">
        <v>0.375</v>
      </c>
      <c r="I29" s="3">
        <f t="shared" si="3"/>
        <v>0.375</v>
      </c>
      <c r="J29" s="3">
        <f>IF(G29&gt;I29,G29-I29,0)</f>
        <v>0.23402777777777795</v>
      </c>
      <c r="K29" s="3">
        <f>IF(I29&gt;G29,I29-G29,0)</f>
        <v>0</v>
      </c>
      <c r="L29" s="3">
        <v>0</v>
      </c>
      <c r="M29" s="3">
        <v>0</v>
      </c>
      <c r="N29" s="3">
        <v>9.0277777777777804E-3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175</v>
      </c>
      <c r="F30" s="2" t="s">
        <v>176</v>
      </c>
      <c r="G30" s="3">
        <v>0.67152777777777795</v>
      </c>
      <c r="H30" s="3">
        <v>0.375</v>
      </c>
      <c r="I30" s="3">
        <f t="shared" si="3"/>
        <v>0.375</v>
      </c>
      <c r="J30" s="3">
        <f>IF(G30&gt;I30,G30-I30,0)</f>
        <v>0.29652777777777795</v>
      </c>
      <c r="K30" s="3">
        <f>IF(I30&gt;G30,I30-G30,0)</f>
        <v>0</v>
      </c>
      <c r="L30" s="3">
        <v>0</v>
      </c>
      <c r="M30" s="3">
        <v>0</v>
      </c>
      <c r="N30" s="3">
        <v>6.9444444444444397E-3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110</v>
      </c>
      <c r="F31" s="2" t="s">
        <v>177</v>
      </c>
      <c r="G31" s="3">
        <v>0.63333333333333297</v>
      </c>
      <c r="H31" s="3">
        <v>0.33333333333333298</v>
      </c>
      <c r="I31" s="3">
        <f t="shared" si="3"/>
        <v>0.33333333333333298</v>
      </c>
      <c r="J31" s="3">
        <f>IF(G31&gt;I31,G31-I31,0)</f>
        <v>0.3</v>
      </c>
      <c r="K31" s="3">
        <f>IF(I31&gt;G31,I31-G31,0)</f>
        <v>0</v>
      </c>
      <c r="L31" s="3">
        <v>0</v>
      </c>
      <c r="M31" s="3">
        <v>0</v>
      </c>
      <c r="N31" s="3">
        <v>3.9583333333333297E-2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44</v>
      </c>
      <c r="E34" s="8"/>
      <c r="F34" s="8"/>
      <c r="G34" s="9">
        <f t="shared" ref="G34:N34" si="4">SUM(G3:G33)</f>
        <v>12.949305555555554</v>
      </c>
      <c r="H34" s="9">
        <f t="shared" si="4"/>
        <v>7.6666666666666652</v>
      </c>
      <c r="I34" s="9">
        <f t="shared" si="4"/>
        <v>7.3333333333333321</v>
      </c>
      <c r="J34" s="9">
        <f t="shared" si="4"/>
        <v>5.1347222222222237</v>
      </c>
      <c r="K34" s="9">
        <f t="shared" si="4"/>
        <v>0</v>
      </c>
      <c r="L34" s="9">
        <f t="shared" si="4"/>
        <v>0</v>
      </c>
      <c r="M34" s="9">
        <f t="shared" si="4"/>
        <v>0.48125000000000001</v>
      </c>
      <c r="N34" s="9">
        <f t="shared" si="4"/>
        <v>0.54513888888888884</v>
      </c>
      <c r="O34" s="8"/>
      <c r="P34" s="8"/>
      <c r="Q34" s="8">
        <f>SUM(Q3:Q33)</f>
        <v>1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5.1347222222222237</v>
      </c>
      <c r="I36" s="11" t="s">
        <v>103</v>
      </c>
    </row>
    <row r="37" spans="1:19" ht="15.75" x14ac:dyDescent="0.25">
      <c r="H37" s="10">
        <f>IF(K34&lt;=J34, M34, IF(K34&lt;=J34+M34, J34+M34-K34, 0))</f>
        <v>0.48125000000000001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0.54513888888888884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H36" sqref="H36:I36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178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129</v>
      </c>
      <c r="F3" s="2" t="s">
        <v>179</v>
      </c>
      <c r="G3" s="3">
        <v>0.45555555555555599</v>
      </c>
      <c r="H3" s="3">
        <v>0.33333333333333298</v>
      </c>
      <c r="I3" s="3">
        <f>MAX(H3-IF(R3="",0,R3),0)</f>
        <v>0.33333333333333298</v>
      </c>
      <c r="J3" s="3">
        <f>IF(G3&gt;I3,G3-I3,0)</f>
        <v>0.12222222222222301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136</v>
      </c>
      <c r="F6" s="2" t="s">
        <v>180</v>
      </c>
      <c r="G6" s="3">
        <v>0.45902777777777798</v>
      </c>
      <c r="H6" s="3">
        <v>0.375</v>
      </c>
      <c r="I6" s="3">
        <f t="shared" ref="I6:I11" si="0">MAX(H6-IF(R6="",0,R6),0)</f>
        <v>0.375</v>
      </c>
      <c r="J6" s="3">
        <f>IF(G6&gt;I6,G6-I6,0)</f>
        <v>8.4027777777777979E-2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181</v>
      </c>
      <c r="F7" s="2" t="s">
        <v>182</v>
      </c>
      <c r="G7" s="3">
        <v>0.38402777777777802</v>
      </c>
      <c r="H7" s="3">
        <v>0.375</v>
      </c>
      <c r="I7" s="3">
        <f t="shared" si="0"/>
        <v>0.375</v>
      </c>
      <c r="J7" s="3">
        <f>IF(G7&gt;I7,G7-I7,0)</f>
        <v>9.0277777777780233E-3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131</v>
      </c>
      <c r="F8" s="2" t="s">
        <v>183</v>
      </c>
      <c r="G8" s="3">
        <v>0.42916666666666697</v>
      </c>
      <c r="H8" s="3">
        <v>0.375</v>
      </c>
      <c r="I8" s="3">
        <f t="shared" si="0"/>
        <v>0.375</v>
      </c>
      <c r="J8" s="3">
        <f>IF(G8&gt;I8,G8-I8,0)</f>
        <v>5.4166666666666974E-2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184</v>
      </c>
      <c r="F9" s="2" t="s">
        <v>185</v>
      </c>
      <c r="G9" s="3">
        <v>0.25</v>
      </c>
      <c r="H9" s="3">
        <v>0.375</v>
      </c>
      <c r="I9" s="3">
        <f t="shared" si="0"/>
        <v>0.25</v>
      </c>
      <c r="J9" s="3">
        <f>IF(G9&gt;I9,G9-I9,0)</f>
        <v>0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3">
        <v>0.125</v>
      </c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129</v>
      </c>
      <c r="F10" s="2" t="s">
        <v>100</v>
      </c>
      <c r="G10" s="3">
        <v>0.40763888888888899</v>
      </c>
      <c r="H10" s="3">
        <v>0.33333333333333298</v>
      </c>
      <c r="I10" s="3">
        <f t="shared" si="0"/>
        <v>0.33333333333333298</v>
      </c>
      <c r="J10" s="3">
        <f>IF(G10&gt;I10,G10-I10,0)</f>
        <v>7.4305555555556013E-2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184</v>
      </c>
      <c r="F13" s="2" t="s">
        <v>185</v>
      </c>
      <c r="G13" s="3">
        <v>0.25</v>
      </c>
      <c r="H13" s="3">
        <v>0.375</v>
      </c>
      <c r="I13" s="3">
        <f t="shared" ref="I13:I18" si="1">MAX(H13-IF(R13="",0,R13),0)</f>
        <v>0.25</v>
      </c>
      <c r="J13" s="3">
        <f>IF(G13&gt;I13,G13-I13,0)</f>
        <v>0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3">
        <v>0.125</v>
      </c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129</v>
      </c>
      <c r="F14" s="2" t="s">
        <v>186</v>
      </c>
      <c r="G14" s="3">
        <v>0.45833333333333298</v>
      </c>
      <c r="H14" s="3">
        <v>0.375</v>
      </c>
      <c r="I14" s="3">
        <f t="shared" si="1"/>
        <v>0.375</v>
      </c>
      <c r="J14" s="3">
        <f>IF(G14&gt;I14,G14-I14,0)</f>
        <v>8.3333333333332982E-2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187</v>
      </c>
      <c r="F15" s="2" t="s">
        <v>188</v>
      </c>
      <c r="G15" s="3">
        <v>0.43611111111111101</v>
      </c>
      <c r="H15" s="3">
        <v>0.375</v>
      </c>
      <c r="I15" s="3">
        <f t="shared" si="1"/>
        <v>0.375</v>
      </c>
      <c r="J15" s="3">
        <f>IF(G15&gt;I15,G15-I15,0)</f>
        <v>6.1111111111111005E-2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129</v>
      </c>
      <c r="F16" s="2" t="s">
        <v>111</v>
      </c>
      <c r="G16" s="3">
        <v>0.375</v>
      </c>
      <c r="H16" s="3">
        <v>0.375</v>
      </c>
      <c r="I16" s="3">
        <f t="shared" si="1"/>
        <v>0.375</v>
      </c>
      <c r="J16" s="3">
        <f>IF(G16&gt;I16,G16-I16,0)</f>
        <v>0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96</v>
      </c>
      <c r="F17" s="2" t="s">
        <v>186</v>
      </c>
      <c r="G17" s="3">
        <v>0.41875000000000001</v>
      </c>
      <c r="H17" s="3">
        <v>0.33333333333333298</v>
      </c>
      <c r="I17" s="3">
        <f t="shared" si="1"/>
        <v>0.33333333333333298</v>
      </c>
      <c r="J17" s="3">
        <f>IF(G17&gt;I17,G17-I17,0)</f>
        <v>8.5416666666667029E-2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189</v>
      </c>
      <c r="F20" s="2" t="s">
        <v>190</v>
      </c>
      <c r="G20" s="3">
        <v>0.46875</v>
      </c>
      <c r="H20" s="3">
        <v>0.375</v>
      </c>
      <c r="I20" s="3">
        <f t="shared" ref="I20:I25" si="2">MAX(H20-IF(R20="",0,R20),0)</f>
        <v>0.375</v>
      </c>
      <c r="J20" s="3">
        <f>IF(G20&gt;I20,G20-I20,0)</f>
        <v>9.375E-2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191</v>
      </c>
      <c r="F21" s="2" t="s">
        <v>192</v>
      </c>
      <c r="G21" s="3">
        <v>0.49444444444444502</v>
      </c>
      <c r="H21" s="3">
        <v>0.375</v>
      </c>
      <c r="I21" s="3">
        <f t="shared" si="2"/>
        <v>0.375</v>
      </c>
      <c r="J21" s="3">
        <f>IF(G21&gt;I21,G21-I21,0)</f>
        <v>0.11944444444444502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36</v>
      </c>
      <c r="F22" s="2" t="s">
        <v>193</v>
      </c>
      <c r="G22" s="3">
        <v>0.37777777777777799</v>
      </c>
      <c r="H22" s="3">
        <v>0.375</v>
      </c>
      <c r="I22" s="3">
        <f t="shared" si="2"/>
        <v>0.375</v>
      </c>
      <c r="J22" s="3">
        <f>IF(G22&gt;I22,G22-I22,0)</f>
        <v>2.77777777777799E-3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194</v>
      </c>
      <c r="F23" s="2" t="s">
        <v>195</v>
      </c>
      <c r="G23" s="3">
        <v>0.39652777777777798</v>
      </c>
      <c r="H23" s="3">
        <v>0.375</v>
      </c>
      <c r="I23" s="3">
        <f t="shared" si="2"/>
        <v>0.375</v>
      </c>
      <c r="J23" s="3">
        <f>IF(G23&gt;I23,G23-I23,0)</f>
        <v>2.1527777777777979E-2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196</v>
      </c>
      <c r="F24" s="2" t="s">
        <v>186</v>
      </c>
      <c r="G24" s="3">
        <v>0.46736111111111101</v>
      </c>
      <c r="H24" s="3">
        <v>0.33333333333333298</v>
      </c>
      <c r="I24" s="3">
        <f t="shared" si="2"/>
        <v>0.33333333333333298</v>
      </c>
      <c r="J24" s="3">
        <f>IF(G24&gt;I24,G24-I24,0)</f>
        <v>0.13402777777777802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/>
      <c r="E27" s="2" t="s">
        <v>27</v>
      </c>
      <c r="F27" s="2" t="s">
        <v>27</v>
      </c>
      <c r="G27" s="3">
        <v>0</v>
      </c>
      <c r="H27" s="3">
        <v>0.375</v>
      </c>
      <c r="I27" s="3">
        <v>0</v>
      </c>
      <c r="J27" s="3">
        <f>IF(G27&gt;I27,G27-I27,0)</f>
        <v>0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>
        <v>1</v>
      </c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197</v>
      </c>
      <c r="F28" s="2" t="s">
        <v>198</v>
      </c>
      <c r="G28" s="3">
        <v>0.40763888888888899</v>
      </c>
      <c r="H28" s="3">
        <v>0.375</v>
      </c>
      <c r="I28" s="3">
        <f t="shared" ref="I28:I32" si="3">MAX(H28-IF(R28="",0,R28),0)</f>
        <v>0.375</v>
      </c>
      <c r="J28" s="3">
        <f>IF(G28&gt;I28,G28-I28,0)</f>
        <v>3.2638888888888995E-2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199</v>
      </c>
      <c r="F29" s="2" t="s">
        <v>200</v>
      </c>
      <c r="G29" s="3">
        <v>0.46180555555555602</v>
      </c>
      <c r="H29" s="3">
        <v>0.375</v>
      </c>
      <c r="I29" s="3">
        <f t="shared" si="3"/>
        <v>0.375</v>
      </c>
      <c r="J29" s="3">
        <f>IF(G29&gt;I29,G29-I29,0)</f>
        <v>8.6805555555556024E-2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90</v>
      </c>
      <c r="F30" s="2" t="s">
        <v>192</v>
      </c>
      <c r="G30" s="3">
        <v>0.51249999999999996</v>
      </c>
      <c r="H30" s="3">
        <v>0.375</v>
      </c>
      <c r="I30" s="3">
        <f t="shared" si="3"/>
        <v>0.375</v>
      </c>
      <c r="J30" s="3">
        <f>IF(G30&gt;I30,G30-I30,0)</f>
        <v>0.13749999999999996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/>
      <c r="E31" s="2" t="s">
        <v>27</v>
      </c>
      <c r="F31" s="2" t="s">
        <v>27</v>
      </c>
      <c r="G31" s="3">
        <v>0</v>
      </c>
      <c r="H31" s="3">
        <v>0.33333333333333298</v>
      </c>
      <c r="I31" s="3">
        <v>0</v>
      </c>
      <c r="J31" s="3">
        <f>IF(G31&gt;I31,G31-I31,0)</f>
        <v>0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>
        <v>1</v>
      </c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38</v>
      </c>
      <c r="E34" s="8"/>
      <c r="F34" s="8"/>
      <c r="G34" s="9">
        <f t="shared" ref="G34:N34" si="4">SUM(G3:G33)</f>
        <v>7.91041666666667</v>
      </c>
      <c r="H34" s="9">
        <f t="shared" si="4"/>
        <v>7.6666666666666652</v>
      </c>
      <c r="I34" s="9">
        <f t="shared" si="4"/>
        <v>6.7083333333333321</v>
      </c>
      <c r="J34" s="9">
        <f t="shared" si="4"/>
        <v>1.2020833333333372</v>
      </c>
      <c r="K34" s="9">
        <f t="shared" si="4"/>
        <v>0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8"/>
      <c r="P34" s="8"/>
      <c r="Q34" s="8">
        <f>SUM(Q3:Q33)</f>
        <v>2</v>
      </c>
      <c r="R34" s="9">
        <f>SUM(R3:R33)</f>
        <v>0.25</v>
      </c>
      <c r="S34" s="8">
        <f>SUM(S3:S33)</f>
        <v>0</v>
      </c>
    </row>
    <row r="36" spans="1:19" ht="15.75" x14ac:dyDescent="0.25">
      <c r="H36" s="10">
        <f>IF(J34&gt;=K34, J34-K34, 0)</f>
        <v>1.2020833333333372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0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H36" sqref="H36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201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202</v>
      </c>
      <c r="F3" s="2" t="s">
        <v>33</v>
      </c>
      <c r="G3" s="3">
        <v>0.42708333333333331</v>
      </c>
      <c r="H3" s="3">
        <v>0.33333333333333298</v>
      </c>
      <c r="I3" s="3">
        <f>IF(Q3&lt;&gt;"",IF(Q3&gt;0,0,MAX(H3-IF(R3="",0,R3),0)),MAX(H3-IF(R3="",0,R3),0))</f>
        <v>0.33333333333333298</v>
      </c>
      <c r="J3" s="3">
        <f>IF(G3&gt;I3,G3-I3,0)</f>
        <v>9.3750000000000333E-2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IF(Q4&lt;&gt;"",IF(Q4&gt;0,0,MAX(H4-IF(R4="",0,R4),0)),MAX(H4-IF(R4="",0,R4),0))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133</v>
      </c>
      <c r="F6" s="2" t="s">
        <v>124</v>
      </c>
      <c r="G6" s="3">
        <v>0.53125</v>
      </c>
      <c r="H6" s="3">
        <v>0.375</v>
      </c>
      <c r="I6" s="3">
        <f t="shared" ref="I6:I11" si="0">IF(Q6&lt;&gt;"",IF(Q6&gt;0,0,MAX(H6-IF(R6="",0,R6),0)),MAX(H6-IF(R6="",0,R6),0))</f>
        <v>0.375</v>
      </c>
      <c r="J6" s="3">
        <f>IF(G6&gt;I6,G6-I6,0)</f>
        <v>0.15625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131</v>
      </c>
      <c r="F7" s="2" t="s">
        <v>33</v>
      </c>
      <c r="G7" s="3">
        <v>0.47916666666666702</v>
      </c>
      <c r="H7" s="3">
        <v>0.375</v>
      </c>
      <c r="I7" s="3">
        <f t="shared" si="0"/>
        <v>0.375</v>
      </c>
      <c r="J7" s="3">
        <f>IF(G7&gt;I7,G7-I7,0)</f>
        <v>0.10416666666666702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203</v>
      </c>
      <c r="F8" s="2" t="s">
        <v>204</v>
      </c>
      <c r="G8" s="3">
        <v>0.27986111111111101</v>
      </c>
      <c r="H8" s="3">
        <v>0.375</v>
      </c>
      <c r="I8" s="3">
        <f t="shared" si="0"/>
        <v>0.375</v>
      </c>
      <c r="J8" s="3">
        <f>IF(G8&gt;I8,G8-I8,0)</f>
        <v>0</v>
      </c>
      <c r="K8" s="3">
        <f>IF(I8&gt;G8,I8-G8,0)</f>
        <v>9.5138888888888995E-2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129</v>
      </c>
      <c r="F9" s="2" t="s">
        <v>128</v>
      </c>
      <c r="G9" s="3">
        <v>0.51388888888888895</v>
      </c>
      <c r="H9" s="3">
        <v>0.375</v>
      </c>
      <c r="I9" s="3">
        <f t="shared" si="0"/>
        <v>0.375</v>
      </c>
      <c r="J9" s="3">
        <f>IF(G9&gt;I9,G9-I9,0)</f>
        <v>0.13888888888888895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205</v>
      </c>
      <c r="F10" s="2" t="s">
        <v>275</v>
      </c>
      <c r="G10" s="3">
        <v>0.39722222222222198</v>
      </c>
      <c r="H10" s="3">
        <v>0.33333333333333298</v>
      </c>
      <c r="I10" s="3">
        <f t="shared" si="0"/>
        <v>0.33333333333333298</v>
      </c>
      <c r="J10" s="3">
        <f>IF(G10&gt;I10,G10-I10,0)</f>
        <v>6.3888888888888995E-2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>
        <v>2</v>
      </c>
      <c r="E11" s="4" t="s">
        <v>184</v>
      </c>
      <c r="F11" s="4" t="s">
        <v>206</v>
      </c>
      <c r="G11" s="5">
        <v>0.16666666666666699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0.16666666666666699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51</v>
      </c>
      <c r="F13" s="2" t="s">
        <v>139</v>
      </c>
      <c r="G13" s="3">
        <v>0.51736111111111105</v>
      </c>
      <c r="H13" s="3">
        <v>0.375</v>
      </c>
      <c r="I13" s="3">
        <f t="shared" ref="I13:I18" si="1">IF(Q13&lt;&gt;"",IF(Q13&gt;0,0,MAX(H13-IF(R13="",0,R13),0)),MAX(H13-IF(R13="",0,R13),0))</f>
        <v>0.375</v>
      </c>
      <c r="J13" s="3">
        <f>IF(G13&gt;I13,G13-I13,0)</f>
        <v>0.14236111111111105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207</v>
      </c>
      <c r="F14" s="2" t="s">
        <v>399</v>
      </c>
      <c r="G14" s="3">
        <v>0.35694444444444501</v>
      </c>
      <c r="H14" s="3">
        <v>0.375</v>
      </c>
      <c r="I14" s="3">
        <f t="shared" si="1"/>
        <v>0.375</v>
      </c>
      <c r="J14" s="3">
        <f>IF(G14&gt;I14,G14-I14,0)</f>
        <v>0</v>
      </c>
      <c r="K14" s="3">
        <f>IF(I14&gt;G14,I14-G14,0)</f>
        <v>1.8055555555554992E-2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208</v>
      </c>
      <c r="F15" s="2" t="s">
        <v>209</v>
      </c>
      <c r="G15" s="3">
        <v>0.420833333333333</v>
      </c>
      <c r="H15" s="3">
        <v>0.375</v>
      </c>
      <c r="I15" s="3">
        <f t="shared" si="1"/>
        <v>0.375</v>
      </c>
      <c r="J15" s="3">
        <f>IF(G15&gt;I15,G15-I15,0)</f>
        <v>4.5833333333333004E-2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187</v>
      </c>
      <c r="F16" s="2" t="s">
        <v>210</v>
      </c>
      <c r="G16" s="3">
        <v>0.44166666666666698</v>
      </c>
      <c r="H16" s="3">
        <v>0.375</v>
      </c>
      <c r="I16" s="3">
        <f t="shared" si="1"/>
        <v>0.375</v>
      </c>
      <c r="J16" s="3">
        <f>IF(G16&gt;I16,G16-I16,0)</f>
        <v>6.6666666666666985E-2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4</v>
      </c>
      <c r="E17" s="2" t="s">
        <v>211</v>
      </c>
      <c r="F17" s="2" t="s">
        <v>212</v>
      </c>
      <c r="G17" s="3">
        <v>0.34166666666666701</v>
      </c>
      <c r="H17" s="3">
        <v>0.33333333333333298</v>
      </c>
      <c r="I17" s="3">
        <f t="shared" si="1"/>
        <v>0.33333333333333298</v>
      </c>
      <c r="J17" s="3">
        <f>IF(G17&gt;I17,G17-I17,0)</f>
        <v>8.3333333333340254E-3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213</v>
      </c>
      <c r="F20" s="2" t="s">
        <v>174</v>
      </c>
      <c r="G20" s="3">
        <v>0.46666666666666701</v>
      </c>
      <c r="H20" s="3">
        <v>0.375</v>
      </c>
      <c r="I20" s="3">
        <f t="shared" ref="I20:I25" si="2">IF(Q20&lt;&gt;"",IF(Q20&gt;0,0,MAX(H20-IF(R20="",0,R20),0)),MAX(H20-IF(R20="",0,R20),0))</f>
        <v>0.375</v>
      </c>
      <c r="J20" s="3">
        <f>IF(G20&gt;I20,G20-I20,0)</f>
        <v>9.1666666666667007E-2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214</v>
      </c>
      <c r="F21" s="2" t="s">
        <v>33</v>
      </c>
      <c r="G21" s="3">
        <v>0.44444444444444398</v>
      </c>
      <c r="H21" s="3">
        <v>0.375</v>
      </c>
      <c r="I21" s="3">
        <f t="shared" si="2"/>
        <v>0.375</v>
      </c>
      <c r="J21" s="3">
        <f>IF(G21&gt;I21,G21-I21,0)</f>
        <v>6.9444444444443976E-2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400</v>
      </c>
      <c r="F22" s="2" t="s">
        <v>64</v>
      </c>
      <c r="G22" s="3">
        <v>0.5</v>
      </c>
      <c r="H22" s="3">
        <v>0.375</v>
      </c>
      <c r="I22" s="3">
        <f t="shared" si="2"/>
        <v>0.375</v>
      </c>
      <c r="J22" s="3">
        <f>IF(G22&gt;I22,G22-I22,0)</f>
        <v>0.125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187</v>
      </c>
      <c r="F23" s="2" t="s">
        <v>33</v>
      </c>
      <c r="G23" s="3">
        <v>0.45833333333333298</v>
      </c>
      <c r="H23" s="3">
        <v>0.375</v>
      </c>
      <c r="I23" s="3">
        <f t="shared" si="2"/>
        <v>0.375</v>
      </c>
      <c r="J23" s="3">
        <f>IF(G23&gt;I23,G23-I23,0)</f>
        <v>8.3333333333332982E-2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215</v>
      </c>
      <c r="F24" s="2" t="s">
        <v>33</v>
      </c>
      <c r="G24" s="3">
        <v>0.57569444444444395</v>
      </c>
      <c r="H24" s="3">
        <v>0.33333333333333298</v>
      </c>
      <c r="I24" s="3">
        <f t="shared" si="2"/>
        <v>0.33333333333333298</v>
      </c>
      <c r="J24" s="3">
        <f>IF(G24&gt;I24,G24-I24,0)</f>
        <v>0.24236111111111097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216</v>
      </c>
      <c r="F27" s="2" t="s">
        <v>401</v>
      </c>
      <c r="G27" s="3">
        <v>0.27986111111111101</v>
      </c>
      <c r="H27" s="3">
        <v>0.375</v>
      </c>
      <c r="I27" s="3">
        <f t="shared" ref="I27:I32" si="3">IF(Q27&lt;&gt;"",IF(Q27&gt;0,0,MAX(H27-IF(R27="",0,R27),0)),MAX(H27-IF(R27="",0,R27),0))</f>
        <v>0.375</v>
      </c>
      <c r="J27" s="3">
        <f>IF(G27&gt;I27,G27-I27,0)</f>
        <v>0</v>
      </c>
      <c r="K27" s="3">
        <f>IF(I27&gt;G27,I27-G27,0)</f>
        <v>9.5138888888888995E-2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332</v>
      </c>
      <c r="F28" s="2" t="s">
        <v>186</v>
      </c>
      <c r="G28" s="3">
        <v>0.39583333333333298</v>
      </c>
      <c r="H28" s="3">
        <v>0.375</v>
      </c>
      <c r="I28" s="3">
        <f t="shared" si="3"/>
        <v>0.375</v>
      </c>
      <c r="J28" s="3">
        <f>IF(G28&gt;I28,G28-I28,0)</f>
        <v>2.0833333333332982E-2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131</v>
      </c>
      <c r="F29" s="2" t="s">
        <v>209</v>
      </c>
      <c r="G29" s="3">
        <v>0.44444444444444398</v>
      </c>
      <c r="H29" s="3">
        <v>0.375</v>
      </c>
      <c r="I29" s="3">
        <f t="shared" si="3"/>
        <v>0.375</v>
      </c>
      <c r="J29" s="3">
        <f>IF(G29&gt;I29,G29-I29,0)</f>
        <v>6.9444444444443976E-2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217</v>
      </c>
      <c r="F30" s="2" t="s">
        <v>218</v>
      </c>
      <c r="G30" s="3">
        <v>0.530555555555556</v>
      </c>
      <c r="H30" s="3">
        <v>0.375</v>
      </c>
      <c r="I30" s="3">
        <f t="shared" si="3"/>
        <v>0.375</v>
      </c>
      <c r="J30" s="3">
        <f>IF(G30&gt;I30,G30-I30,0)</f>
        <v>0.155555555555556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219</v>
      </c>
      <c r="F31" s="2" t="s">
        <v>186</v>
      </c>
      <c r="G31" s="3">
        <v>0.44722222222222202</v>
      </c>
      <c r="H31" s="3">
        <v>0.33333333333333298</v>
      </c>
      <c r="I31" s="3">
        <f t="shared" si="3"/>
        <v>0.33333333333333298</v>
      </c>
      <c r="J31" s="3">
        <f>IF(G31&gt;I31,G31-I31,0)</f>
        <v>0.11388888888888904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46</v>
      </c>
      <c r="E34" s="8"/>
      <c r="F34" s="8"/>
      <c r="G34" s="9">
        <f t="shared" ref="G34:N34" si="4">SUM(G3:G33)</f>
        <v>9.4166666666666679</v>
      </c>
      <c r="H34" s="9">
        <f t="shared" si="4"/>
        <v>7.6666666666666652</v>
      </c>
      <c r="I34" s="9">
        <f t="shared" si="4"/>
        <v>7.6666666666666652</v>
      </c>
      <c r="J34" s="9">
        <f t="shared" si="4"/>
        <v>1.7916666666666674</v>
      </c>
      <c r="K34" s="9">
        <f t="shared" si="4"/>
        <v>0.20833333333333298</v>
      </c>
      <c r="L34" s="9">
        <f t="shared" si="4"/>
        <v>0</v>
      </c>
      <c r="M34" s="9">
        <f t="shared" si="4"/>
        <v>0.16666666666666699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</v>
      </c>
      <c r="S34" s="8">
        <f>SUM(S3:S33)</f>
        <v>0</v>
      </c>
    </row>
    <row r="35" spans="1:19" ht="15.75" x14ac:dyDescent="0.25">
      <c r="H35" s="10">
        <v>1.25</v>
      </c>
      <c r="I35" s="11" t="s">
        <v>103</v>
      </c>
    </row>
    <row r="36" spans="1:19" ht="15.75" x14ac:dyDescent="0.25">
      <c r="H36" s="10">
        <f>IF(J34&gt;=K34,J34-K34,0)</f>
        <v>1.5833333333333344</v>
      </c>
      <c r="I36" s="11" t="s">
        <v>103</v>
      </c>
    </row>
    <row r="37" spans="1:19" ht="15.75" x14ac:dyDescent="0.25">
      <c r="H37" s="10">
        <f>IF(K34&lt;=J34,M34,IF(K34&lt;=J34+M34,J34+M34-K34,0))</f>
        <v>0.16666666666666699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IF(K34&gt;J34+M34,K34-J34-M34,0)</f>
        <v>0</v>
      </c>
      <c r="I40" s="11" t="s">
        <v>402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rightToLeft="1"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I35" sqref="I35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220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221</v>
      </c>
      <c r="F3" s="2" t="s">
        <v>222</v>
      </c>
      <c r="G3" s="3">
        <v>0.38611111111111102</v>
      </c>
      <c r="H3" s="3">
        <v>0.33333333333333298</v>
      </c>
      <c r="I3" s="3">
        <f>MAX(H3-IF(R3="",0,R3),0)</f>
        <v>0.25833333333333297</v>
      </c>
      <c r="J3" s="3">
        <f>IF(G3&gt;I3,G3-I3,0)</f>
        <v>0.12777777777777805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3">
        <v>7.4999999999999997E-2</v>
      </c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223</v>
      </c>
      <c r="F6" s="2" t="s">
        <v>224</v>
      </c>
      <c r="G6" s="3">
        <v>0.39236111111111099</v>
      </c>
      <c r="H6" s="3">
        <v>0.375</v>
      </c>
      <c r="I6" s="3">
        <f t="shared" ref="I6:I11" si="0">MAX(H6-IF(R6="",0,R6),0)</f>
        <v>0.375</v>
      </c>
      <c r="J6" s="3">
        <f>IF(G6&gt;I6,G6-I6,0)</f>
        <v>1.7361111111110994E-2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225</v>
      </c>
      <c r="F7" s="2" t="s">
        <v>37</v>
      </c>
      <c r="G7" s="3">
        <v>0.41319444444444398</v>
      </c>
      <c r="H7" s="3">
        <v>0.375</v>
      </c>
      <c r="I7" s="3">
        <f t="shared" si="0"/>
        <v>0.375</v>
      </c>
      <c r="J7" s="3">
        <f>IF(G7&gt;I7,G7-I7,0)</f>
        <v>3.8194444444443976E-2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226</v>
      </c>
      <c r="F8" s="2" t="s">
        <v>227</v>
      </c>
      <c r="G8" s="3">
        <v>0.44513888888888897</v>
      </c>
      <c r="H8" s="3">
        <v>0.375</v>
      </c>
      <c r="I8" s="3">
        <f t="shared" si="0"/>
        <v>0.375</v>
      </c>
      <c r="J8" s="3">
        <f>IF(G8&gt;I8,G8-I8,0)</f>
        <v>7.0138888888888973E-2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21</v>
      </c>
      <c r="F9" s="2" t="s">
        <v>228</v>
      </c>
      <c r="G9" s="3">
        <v>0.43125000000000002</v>
      </c>
      <c r="H9" s="3">
        <v>0.375</v>
      </c>
      <c r="I9" s="3">
        <f t="shared" si="0"/>
        <v>0.375</v>
      </c>
      <c r="J9" s="3">
        <f>IF(G9&gt;I9,G9-I9,0)</f>
        <v>5.6250000000000022E-2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223</v>
      </c>
      <c r="F10" s="2" t="s">
        <v>229</v>
      </c>
      <c r="G10" s="3">
        <v>0.39722222222222198</v>
      </c>
      <c r="H10" s="3">
        <v>0.33333333333333298</v>
      </c>
      <c r="I10" s="3">
        <f t="shared" si="0"/>
        <v>0.33333333333333298</v>
      </c>
      <c r="J10" s="3">
        <f>IF(G10&gt;I10,G10-I10,0)</f>
        <v>6.3888888888888995E-2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230</v>
      </c>
      <c r="F13" s="2" t="s">
        <v>231</v>
      </c>
      <c r="G13" s="3">
        <v>0.49375000000000002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0.11875000000000002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232</v>
      </c>
      <c r="F14" s="2" t="s">
        <v>233</v>
      </c>
      <c r="G14" s="3">
        <v>0.4</v>
      </c>
      <c r="H14" s="3">
        <v>0.375</v>
      </c>
      <c r="I14" s="3">
        <f t="shared" si="1"/>
        <v>0.375</v>
      </c>
      <c r="J14" s="3">
        <f>IF(G14&gt;I14,G14-I14,0)</f>
        <v>2.5000000000000022E-2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232</v>
      </c>
      <c r="F15" s="2" t="s">
        <v>234</v>
      </c>
      <c r="G15" s="3">
        <v>0.375694444444444</v>
      </c>
      <c r="H15" s="3">
        <v>0.375</v>
      </c>
      <c r="I15" s="3">
        <f t="shared" si="1"/>
        <v>0.375</v>
      </c>
      <c r="J15" s="3">
        <f>IF(G15&gt;I15,G15-I15,0)</f>
        <v>6.9444444444399789E-4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235</v>
      </c>
      <c r="F16" s="2" t="s">
        <v>236</v>
      </c>
      <c r="G16" s="3">
        <v>0.30902777777777801</v>
      </c>
      <c r="H16" s="3">
        <v>0.375</v>
      </c>
      <c r="I16" s="3">
        <f t="shared" si="1"/>
        <v>0.35</v>
      </c>
      <c r="J16" s="3">
        <f>IF(G16&gt;I16,G16-I16,0)</f>
        <v>0</v>
      </c>
      <c r="K16" s="3">
        <f>IF(I16&gt;G16,I16-G16,0)</f>
        <v>4.0972222222221966E-2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3">
        <v>2.5000000000000001E-2</v>
      </c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73</v>
      </c>
      <c r="F17" s="2" t="s">
        <v>204</v>
      </c>
      <c r="G17" s="3">
        <v>0.30555555555555602</v>
      </c>
      <c r="H17" s="3">
        <v>0.33333333333333298</v>
      </c>
      <c r="I17" s="3">
        <f t="shared" si="1"/>
        <v>0.27708333333333296</v>
      </c>
      <c r="J17" s="3">
        <f>IF(G17&gt;I17,G17-I17,0)</f>
        <v>2.8472222222223065E-2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3">
        <v>5.6250000000000001E-2</v>
      </c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217</v>
      </c>
      <c r="F20" s="2" t="s">
        <v>237</v>
      </c>
      <c r="G20" s="3">
        <v>0.297222222222222</v>
      </c>
      <c r="H20" s="3">
        <v>0.375</v>
      </c>
      <c r="I20" s="3">
        <f t="shared" ref="I20:I25" si="2">MAX(H20-IF(R20="",0,R20),0)</f>
        <v>0.375</v>
      </c>
      <c r="J20" s="3">
        <f>IF(G20&gt;I20,G20-I20,0)</f>
        <v>0</v>
      </c>
      <c r="K20" s="3">
        <f>IF(I20&gt;G20,I20-G20,0)</f>
        <v>7.7777777777778001E-2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73</v>
      </c>
      <c r="F21" s="2" t="s">
        <v>71</v>
      </c>
      <c r="G21" s="3">
        <v>0.42361111111111099</v>
      </c>
      <c r="H21" s="3">
        <v>0.375</v>
      </c>
      <c r="I21" s="3">
        <f t="shared" si="2"/>
        <v>0.375</v>
      </c>
      <c r="J21" s="3">
        <f>IF(G21&gt;I21,G21-I21,0)</f>
        <v>4.8611111111110994E-2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238</v>
      </c>
      <c r="F22" s="2" t="s">
        <v>239</v>
      </c>
      <c r="G22" s="3">
        <v>0.44166666666666698</v>
      </c>
      <c r="H22" s="3">
        <v>0.375</v>
      </c>
      <c r="I22" s="3">
        <f t="shared" si="2"/>
        <v>0.375</v>
      </c>
      <c r="J22" s="3">
        <f>IF(G22&gt;I22,G22-I22,0)</f>
        <v>6.6666666666666985E-2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187</v>
      </c>
      <c r="F23" s="2" t="s">
        <v>212</v>
      </c>
      <c r="G23" s="3">
        <v>0.43888888888888899</v>
      </c>
      <c r="H23" s="3">
        <v>0.375</v>
      </c>
      <c r="I23" s="3">
        <f t="shared" si="2"/>
        <v>0.29166666666666669</v>
      </c>
      <c r="J23" s="3">
        <f>IF(G23&gt;I23,G23-I23,0)</f>
        <v>0.14722222222222231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3">
        <v>8.3333333333333301E-2</v>
      </c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240</v>
      </c>
      <c r="F24" s="2" t="s">
        <v>241</v>
      </c>
      <c r="G24" s="3">
        <v>0.51875000000000004</v>
      </c>
      <c r="H24" s="3">
        <v>0.33333333333333298</v>
      </c>
      <c r="I24" s="3">
        <f t="shared" si="2"/>
        <v>0.33333333333333298</v>
      </c>
      <c r="J24" s="3">
        <f>IF(G24&gt;I24,G24-I24,0)</f>
        <v>0.18541666666666706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242</v>
      </c>
      <c r="F27" s="2" t="s">
        <v>224</v>
      </c>
      <c r="G27" s="3">
        <v>0.41249999999999998</v>
      </c>
      <c r="H27" s="3">
        <v>0.375</v>
      </c>
      <c r="I27" s="3">
        <f t="shared" ref="I27:I32" si="3">MAX(H27-IF(R27="",0,R27),0)</f>
        <v>0.375</v>
      </c>
      <c r="J27" s="3">
        <f>IF(G27&gt;I27,G27-I27,0)</f>
        <v>3.7499999999999978E-2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32</v>
      </c>
      <c r="F28" s="2" t="s">
        <v>243</v>
      </c>
      <c r="G28" s="3">
        <v>0.42986111111111103</v>
      </c>
      <c r="H28" s="3">
        <v>0.375</v>
      </c>
      <c r="I28" s="3">
        <f t="shared" si="3"/>
        <v>0.375</v>
      </c>
      <c r="J28" s="3">
        <f>IF(G28&gt;I28,G28-I28,0)</f>
        <v>5.4861111111111027E-2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119</v>
      </c>
      <c r="F29" s="2" t="s">
        <v>212</v>
      </c>
      <c r="G29" s="3">
        <v>0.51180555555555596</v>
      </c>
      <c r="H29" s="3">
        <v>0.375</v>
      </c>
      <c r="I29" s="3">
        <f t="shared" si="3"/>
        <v>0.375</v>
      </c>
      <c r="J29" s="3">
        <f>IF(G29&gt;I29,G29-I29,0)</f>
        <v>0.13680555555555596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230</v>
      </c>
      <c r="F30" s="2" t="s">
        <v>244</v>
      </c>
      <c r="G30" s="3">
        <v>0.43125000000000002</v>
      </c>
      <c r="H30" s="3">
        <v>0.375</v>
      </c>
      <c r="I30" s="3">
        <f t="shared" si="3"/>
        <v>0.375</v>
      </c>
      <c r="J30" s="3">
        <f>IF(G30&gt;I30,G30-I30,0)</f>
        <v>5.6250000000000022E-2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131</v>
      </c>
      <c r="F31" s="2" t="s">
        <v>245</v>
      </c>
      <c r="G31" s="3">
        <v>0.46666666666666701</v>
      </c>
      <c r="H31" s="3">
        <v>0.33333333333333298</v>
      </c>
      <c r="I31" s="3">
        <f t="shared" si="3"/>
        <v>0.33333333333333298</v>
      </c>
      <c r="J31" s="3">
        <f>IF(G31&gt;I31,G31-I31,0)</f>
        <v>0.13333333333333403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42</v>
      </c>
      <c r="E34" s="8"/>
      <c r="F34" s="8"/>
      <c r="G34" s="9">
        <f t="shared" ref="G34:N34" si="4">SUM(G3:G33)</f>
        <v>8.7215277777777782</v>
      </c>
      <c r="H34" s="9">
        <f t="shared" si="4"/>
        <v>7.6666666666666652</v>
      </c>
      <c r="I34" s="9">
        <f t="shared" si="4"/>
        <v>7.4270833333333321</v>
      </c>
      <c r="J34" s="9">
        <f t="shared" si="4"/>
        <v>1.4131944444444462</v>
      </c>
      <c r="K34" s="9">
        <f t="shared" si="4"/>
        <v>0.11874999999999997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0.23958333333333331</v>
      </c>
      <c r="S34" s="8">
        <f>SUM(S3:S33)</f>
        <v>0</v>
      </c>
    </row>
    <row r="35" spans="1:19" ht="15.75" x14ac:dyDescent="0.25">
      <c r="H35" s="10">
        <v>1.25</v>
      </c>
      <c r="I35" s="11" t="s">
        <v>103</v>
      </c>
    </row>
    <row r="36" spans="1:19" ht="15.75" x14ac:dyDescent="0.25">
      <c r="H36" s="10">
        <f>IF(J34&gt;=K34, J34-K34, 0)</f>
        <v>1.2944444444444463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33" t="s">
        <v>397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I40" sqref="I40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246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247</v>
      </c>
      <c r="F3" s="2" t="s">
        <v>248</v>
      </c>
      <c r="G3" s="3">
        <v>0.60902777777777795</v>
      </c>
      <c r="H3" s="3">
        <v>0.33333333333333298</v>
      </c>
      <c r="I3" s="3">
        <f>MAX(H3-IF(R3="",0,R3),0)</f>
        <v>0.33333333333333298</v>
      </c>
      <c r="J3" s="3">
        <f>IF(G3&gt;I3,G3-I3,0)</f>
        <v>0.27569444444444496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>
        <v>2</v>
      </c>
      <c r="E4" s="4" t="s">
        <v>249</v>
      </c>
      <c r="F4" s="4" t="s">
        <v>250</v>
      </c>
      <c r="G4" s="5">
        <v>0.46041666666666697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0.46041666666666697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251</v>
      </c>
      <c r="F6" s="2" t="s">
        <v>252</v>
      </c>
      <c r="G6" s="3">
        <v>0.56388888888888899</v>
      </c>
      <c r="H6" s="3">
        <v>0.375</v>
      </c>
      <c r="I6" s="3">
        <f t="shared" ref="I6:I11" si="0">MAX(H6-IF(R6="",0,R6),0)</f>
        <v>0.375</v>
      </c>
      <c r="J6" s="3">
        <f>IF(G6&gt;I6,G6-I6,0)</f>
        <v>0.18888888888888899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251</v>
      </c>
      <c r="F7" s="2" t="s">
        <v>253</v>
      </c>
      <c r="G7" s="3">
        <v>0.5625</v>
      </c>
      <c r="H7" s="3">
        <v>0.375</v>
      </c>
      <c r="I7" s="3">
        <f t="shared" si="0"/>
        <v>0.375</v>
      </c>
      <c r="J7" s="3">
        <f>IF(G7&gt;I7,G7-I7,0)</f>
        <v>0.1875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249</v>
      </c>
      <c r="F8" s="2" t="s">
        <v>254</v>
      </c>
      <c r="G8" s="3">
        <v>0.56597222222222199</v>
      </c>
      <c r="H8" s="3">
        <v>0.375</v>
      </c>
      <c r="I8" s="3">
        <f t="shared" si="0"/>
        <v>0.375</v>
      </c>
      <c r="J8" s="3">
        <f>IF(G8&gt;I8,G8-I8,0)</f>
        <v>0.19097222222222199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175</v>
      </c>
      <c r="F9" s="2" t="s">
        <v>91</v>
      </c>
      <c r="G9" s="3">
        <v>0.5625</v>
      </c>
      <c r="H9" s="3">
        <v>0.375</v>
      </c>
      <c r="I9" s="3">
        <f t="shared" si="0"/>
        <v>0.375</v>
      </c>
      <c r="J9" s="3">
        <f>IF(G9&gt;I9,G9-I9,0)</f>
        <v>0.1875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249</v>
      </c>
      <c r="F10" s="2" t="s">
        <v>253</v>
      </c>
      <c r="G10" s="3">
        <v>0.56388888888888899</v>
      </c>
      <c r="H10" s="3">
        <v>0.33333333333333298</v>
      </c>
      <c r="I10" s="3">
        <f t="shared" si="0"/>
        <v>0.33333333333333298</v>
      </c>
      <c r="J10" s="3">
        <f>IF(G10&gt;I10,G10-I10,0)</f>
        <v>0.23055555555555601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>
        <v>2</v>
      </c>
      <c r="E11" s="4" t="s">
        <v>164</v>
      </c>
      <c r="F11" s="4" t="s">
        <v>255</v>
      </c>
      <c r="G11" s="5">
        <v>0.36249999999999999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0.36249999999999999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256</v>
      </c>
      <c r="F13" s="2" t="s">
        <v>227</v>
      </c>
      <c r="G13" s="3">
        <v>0.55555555555555602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0.18055555555555602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256</v>
      </c>
      <c r="F14" s="2" t="s">
        <v>227</v>
      </c>
      <c r="G14" s="3">
        <v>0.55555555555555602</v>
      </c>
      <c r="H14" s="3">
        <v>0.375</v>
      </c>
      <c r="I14" s="3">
        <f t="shared" si="1"/>
        <v>0.375</v>
      </c>
      <c r="J14" s="3">
        <f>IF(G14&gt;I14,G14-I14,0)</f>
        <v>0.18055555555555602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249</v>
      </c>
      <c r="F15" s="2" t="s">
        <v>257</v>
      </c>
      <c r="G15" s="3">
        <v>0.55833333333333302</v>
      </c>
      <c r="H15" s="3">
        <v>0.375</v>
      </c>
      <c r="I15" s="3">
        <f t="shared" si="1"/>
        <v>0.375</v>
      </c>
      <c r="J15" s="3">
        <f>IF(G15&gt;I15,G15-I15,0)</f>
        <v>0.18333333333333302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258</v>
      </c>
      <c r="F16" s="2" t="s">
        <v>259</v>
      </c>
      <c r="G16" s="3">
        <v>0.55833333333333302</v>
      </c>
      <c r="H16" s="3">
        <v>0.375</v>
      </c>
      <c r="I16" s="3">
        <f t="shared" si="1"/>
        <v>0.375</v>
      </c>
      <c r="J16" s="3">
        <f>IF(G16&gt;I16,G16-I16,0)</f>
        <v>0.18333333333333302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249</v>
      </c>
      <c r="F17" s="2" t="s">
        <v>260</v>
      </c>
      <c r="G17" s="3">
        <v>0.56111111111111101</v>
      </c>
      <c r="H17" s="3">
        <v>0.33333333333333298</v>
      </c>
      <c r="I17" s="3">
        <f t="shared" si="1"/>
        <v>0.33333333333333298</v>
      </c>
      <c r="J17" s="3">
        <f>IF(G17&gt;I17,G17-I17,0)</f>
        <v>0.22777777777777802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>
        <v>2</v>
      </c>
      <c r="E18" s="4" t="s">
        <v>164</v>
      </c>
      <c r="F18" s="4" t="s">
        <v>261</v>
      </c>
      <c r="G18" s="5">
        <v>0.48194444444444501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0.48194444444444501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152</v>
      </c>
      <c r="F20" s="2" t="s">
        <v>262</v>
      </c>
      <c r="G20" s="3">
        <v>0.58333333333333304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0.20833333333333304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175</v>
      </c>
      <c r="F21" s="2" t="s">
        <v>263</v>
      </c>
      <c r="G21" s="3">
        <v>0.51666666666666705</v>
      </c>
      <c r="H21" s="3">
        <v>0.375</v>
      </c>
      <c r="I21" s="3">
        <f t="shared" si="2"/>
        <v>0.375</v>
      </c>
      <c r="J21" s="3">
        <f>IF(G21&gt;I21,G21-I21,0)</f>
        <v>0.14166666666666705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175</v>
      </c>
      <c r="F22" s="2" t="s">
        <v>91</v>
      </c>
      <c r="G22" s="3">
        <v>0.5625</v>
      </c>
      <c r="H22" s="3">
        <v>0.375</v>
      </c>
      <c r="I22" s="3">
        <f t="shared" si="2"/>
        <v>0.375</v>
      </c>
      <c r="J22" s="3">
        <f>IF(G22&gt;I22,G22-I22,0)</f>
        <v>0.1875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249</v>
      </c>
      <c r="F23" s="2" t="s">
        <v>260</v>
      </c>
      <c r="G23" s="3">
        <v>0.56111111111111101</v>
      </c>
      <c r="H23" s="3">
        <v>0.375</v>
      </c>
      <c r="I23" s="3">
        <f t="shared" si="2"/>
        <v>0.375</v>
      </c>
      <c r="J23" s="3">
        <f>IF(G23&gt;I23,G23-I23,0)</f>
        <v>0.18611111111111101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256</v>
      </c>
      <c r="F24" s="2" t="s">
        <v>264</v>
      </c>
      <c r="G24" s="3">
        <v>0.58125000000000004</v>
      </c>
      <c r="H24" s="3">
        <v>0.33333333333333298</v>
      </c>
      <c r="I24" s="3">
        <f t="shared" si="2"/>
        <v>0.33333333333333298</v>
      </c>
      <c r="J24" s="3">
        <f>IF(G24&gt;I24,G24-I24,0)</f>
        <v>0.24791666666666706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258</v>
      </c>
      <c r="F27" s="2" t="s">
        <v>262</v>
      </c>
      <c r="G27" s="3">
        <v>0.58263888888888904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0.20763888888888904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175</v>
      </c>
      <c r="F28" s="2" t="s">
        <v>265</v>
      </c>
      <c r="G28" s="3">
        <v>0.58333333333333304</v>
      </c>
      <c r="H28" s="3">
        <v>0.375</v>
      </c>
      <c r="I28" s="3">
        <f t="shared" si="3"/>
        <v>0.375</v>
      </c>
      <c r="J28" s="3">
        <f>IF(G28&gt;I28,G28-I28,0)</f>
        <v>0.20833333333333304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251</v>
      </c>
      <c r="F29" s="2" t="s">
        <v>209</v>
      </c>
      <c r="G29" s="3">
        <v>0.58611111111111103</v>
      </c>
      <c r="H29" s="3">
        <v>0.375</v>
      </c>
      <c r="I29" s="3">
        <f t="shared" si="3"/>
        <v>0.375</v>
      </c>
      <c r="J29" s="3">
        <f>IF(G29&gt;I29,G29-I29,0)</f>
        <v>0.21111111111111103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251</v>
      </c>
      <c r="F30" s="2" t="s">
        <v>266</v>
      </c>
      <c r="G30" s="3">
        <v>0.59027777777777801</v>
      </c>
      <c r="H30" s="3">
        <v>0.375</v>
      </c>
      <c r="I30" s="3">
        <f t="shared" si="3"/>
        <v>0.375</v>
      </c>
      <c r="J30" s="3">
        <f>IF(G30&gt;I30,G30-I30,0)</f>
        <v>0.21527777777777801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256</v>
      </c>
      <c r="F31" s="2" t="s">
        <v>265</v>
      </c>
      <c r="G31" s="3">
        <v>0.58194444444444504</v>
      </c>
      <c r="H31" s="3">
        <v>0.33333333333333298</v>
      </c>
      <c r="I31" s="3">
        <f t="shared" si="3"/>
        <v>0.33333333333333298</v>
      </c>
      <c r="J31" s="3">
        <f>IF(G31&gt;I31,G31-I31,0)</f>
        <v>0.24861111111111206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>
        <v>2</v>
      </c>
      <c r="E32" s="4" t="s">
        <v>164</v>
      </c>
      <c r="F32" s="17">
        <v>0.68055555555555558</v>
      </c>
      <c r="G32" s="5">
        <v>0.43055555555555558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0.43055555555555558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50</v>
      </c>
      <c r="E34" s="8"/>
      <c r="F34" s="8"/>
      <c r="G34" s="9">
        <f t="shared" ref="G34:N34" si="4">SUM(G3:G33)</f>
        <v>13.681250000000006</v>
      </c>
      <c r="H34" s="9">
        <f t="shared" si="4"/>
        <v>7.6666666666666652</v>
      </c>
      <c r="I34" s="9">
        <f t="shared" si="4"/>
        <v>7.6666666666666652</v>
      </c>
      <c r="J34" s="9">
        <f t="shared" si="4"/>
        <v>4.2791666666666686</v>
      </c>
      <c r="K34" s="9">
        <f t="shared" si="4"/>
        <v>0</v>
      </c>
      <c r="L34" s="9">
        <f t="shared" si="4"/>
        <v>0</v>
      </c>
      <c r="M34" s="9">
        <f t="shared" si="4"/>
        <v>1.7354166666666675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4.2791666666666686</v>
      </c>
      <c r="I36" s="11" t="s">
        <v>103</v>
      </c>
    </row>
    <row r="37" spans="1:19" ht="15.75" x14ac:dyDescent="0.25">
      <c r="H37" s="10">
        <f>IF(K34&lt;=J34, M34, IF(K34&lt;=J34+M34, J34+M34-K34, 0))</f>
        <v>1.7354166666666675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0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I40" sqref="I40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267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251</v>
      </c>
      <c r="F3" s="2" t="s">
        <v>61</v>
      </c>
      <c r="G3" s="3">
        <v>0.52430555555555602</v>
      </c>
      <c r="H3" s="3">
        <v>0.33333333333333298</v>
      </c>
      <c r="I3" s="3">
        <f>MAX(H3-IF(R3="",0,R3),0)</f>
        <v>0.33333333333333298</v>
      </c>
      <c r="J3" s="3">
        <f>IF(G3&gt;I3,G3-I3,0)</f>
        <v>0.19097222222222304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>
        <v>2</v>
      </c>
      <c r="E4" s="4" t="s">
        <v>256</v>
      </c>
      <c r="F4" s="4" t="s">
        <v>250</v>
      </c>
      <c r="G4" s="5">
        <v>0.45972222222222198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0.45972222222222198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4</v>
      </c>
      <c r="E6" s="2" t="s">
        <v>249</v>
      </c>
      <c r="F6" s="2" t="s">
        <v>268</v>
      </c>
      <c r="G6" s="3">
        <v>0.84236111111111101</v>
      </c>
      <c r="H6" s="3">
        <v>0.375</v>
      </c>
      <c r="I6" s="3">
        <f t="shared" ref="I6:I11" si="0">MAX(H6-IF(R6="",0,R6),0)</f>
        <v>0.375</v>
      </c>
      <c r="J6" s="3">
        <f>IF(G6&gt;I6,G6-I6,0)</f>
        <v>0.46736111111111101</v>
      </c>
      <c r="K6" s="3">
        <f>IF(I6&gt;G6,I6-G6,0)</f>
        <v>0</v>
      </c>
      <c r="L6" s="3">
        <v>0</v>
      </c>
      <c r="M6" s="3">
        <v>0</v>
      </c>
      <c r="N6" s="3">
        <v>0.178472222222222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269</v>
      </c>
      <c r="F7" s="2" t="s">
        <v>198</v>
      </c>
      <c r="G7" s="3">
        <v>0.49375000000000002</v>
      </c>
      <c r="H7" s="3">
        <v>0.375</v>
      </c>
      <c r="I7" s="3">
        <f t="shared" si="0"/>
        <v>0.375</v>
      </c>
      <c r="J7" s="3">
        <f>IF(G7&gt;I7,G7-I7,0)</f>
        <v>0.11875000000000002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270</v>
      </c>
      <c r="F8" s="2" t="s">
        <v>91</v>
      </c>
      <c r="G8" s="3">
        <v>0.55972222222222201</v>
      </c>
      <c r="H8" s="3">
        <v>0.375</v>
      </c>
      <c r="I8" s="3">
        <f t="shared" si="0"/>
        <v>0.375</v>
      </c>
      <c r="J8" s="3">
        <f>IF(G8&gt;I8,G8-I8,0)</f>
        <v>0.18472222222222201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270</v>
      </c>
      <c r="F9" s="2" t="s">
        <v>271</v>
      </c>
      <c r="G9" s="3">
        <v>0.53472222222222199</v>
      </c>
      <c r="H9" s="3">
        <v>0.375</v>
      </c>
      <c r="I9" s="3">
        <f t="shared" si="0"/>
        <v>0.375</v>
      </c>
      <c r="J9" s="3">
        <f>IF(G9&gt;I9,G9-I9,0)</f>
        <v>0.15972222222222199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272</v>
      </c>
      <c r="F10" s="2" t="s">
        <v>273</v>
      </c>
      <c r="G10" s="3">
        <v>0.45069444444444501</v>
      </c>
      <c r="H10" s="3">
        <v>0.33333333333333298</v>
      </c>
      <c r="I10" s="3">
        <f t="shared" si="0"/>
        <v>0.33333333333333298</v>
      </c>
      <c r="J10" s="3">
        <f>IF(G10&gt;I10,G10-I10,0)</f>
        <v>0.11736111111111203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274</v>
      </c>
      <c r="F13" s="2" t="s">
        <v>233</v>
      </c>
      <c r="G13" s="3">
        <v>0.52430555555555602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0.14930555555555602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251</v>
      </c>
      <c r="F14" s="2" t="s">
        <v>275</v>
      </c>
      <c r="G14" s="3">
        <v>0.54791666666666705</v>
      </c>
      <c r="H14" s="3">
        <v>0.375</v>
      </c>
      <c r="I14" s="3">
        <f t="shared" si="1"/>
        <v>0.375</v>
      </c>
      <c r="J14" s="3">
        <f>IF(G14&gt;I14,G14-I14,0)</f>
        <v>0.17291666666666705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247</v>
      </c>
      <c r="F15" s="2" t="s">
        <v>276</v>
      </c>
      <c r="G15" s="3">
        <v>0.54374999999999996</v>
      </c>
      <c r="H15" s="3">
        <v>0.375</v>
      </c>
      <c r="I15" s="3">
        <f t="shared" si="1"/>
        <v>0.375</v>
      </c>
      <c r="J15" s="3">
        <f>IF(G15&gt;I15,G15-I15,0)</f>
        <v>0.16874999999999996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256</v>
      </c>
      <c r="F16" s="2" t="s">
        <v>228</v>
      </c>
      <c r="G16" s="3">
        <v>0.54513888888888895</v>
      </c>
      <c r="H16" s="3">
        <v>0.375</v>
      </c>
      <c r="I16" s="3">
        <f t="shared" si="1"/>
        <v>0.375</v>
      </c>
      <c r="J16" s="3">
        <f>IF(G16&gt;I16,G16-I16,0)</f>
        <v>0.17013888888888895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277</v>
      </c>
      <c r="F17" s="2" t="s">
        <v>228</v>
      </c>
      <c r="G17" s="3">
        <v>0.54097222222222197</v>
      </c>
      <c r="H17" s="3">
        <v>0.33333333333333298</v>
      </c>
      <c r="I17" s="3">
        <f t="shared" si="1"/>
        <v>0.33333333333333298</v>
      </c>
      <c r="J17" s="3">
        <f>IF(G17&gt;I17,G17-I17,0)</f>
        <v>0.20763888888888898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>
        <v>2</v>
      </c>
      <c r="E18" s="4" t="s">
        <v>256</v>
      </c>
      <c r="F18" s="4" t="s">
        <v>278</v>
      </c>
      <c r="G18" s="5">
        <v>0.46527777777777801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0.46527777777777801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256</v>
      </c>
      <c r="F20" s="2" t="s">
        <v>279</v>
      </c>
      <c r="G20" s="3">
        <v>0.54374999999999996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0.16874999999999996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256</v>
      </c>
      <c r="F21" s="2" t="s">
        <v>280</v>
      </c>
      <c r="G21" s="3">
        <v>0.55277777777777803</v>
      </c>
      <c r="H21" s="3">
        <v>0.375</v>
      </c>
      <c r="I21" s="3">
        <f t="shared" si="2"/>
        <v>0.375</v>
      </c>
      <c r="J21" s="3">
        <f>IF(G21&gt;I21,G21-I21,0)</f>
        <v>0.17777777777777803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/>
      <c r="E22" s="2" t="s">
        <v>27</v>
      </c>
      <c r="F22" s="2" t="s">
        <v>27</v>
      </c>
      <c r="G22" s="3">
        <v>0</v>
      </c>
      <c r="H22" s="3">
        <v>0.375</v>
      </c>
      <c r="I22" s="3">
        <v>0</v>
      </c>
      <c r="J22" s="3">
        <f>IF(G22&gt;I22,G22-I22,0)</f>
        <v>0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>
        <v>1</v>
      </c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256</v>
      </c>
      <c r="F23" s="2" t="s">
        <v>281</v>
      </c>
      <c r="G23" s="3">
        <v>0.53749999999999998</v>
      </c>
      <c r="H23" s="3">
        <v>0.375</v>
      </c>
      <c r="I23" s="3">
        <f t="shared" si="2"/>
        <v>0.375</v>
      </c>
      <c r="J23" s="3">
        <f>IF(G23&gt;I23,G23-I23,0)</f>
        <v>0.16249999999999998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249</v>
      </c>
      <c r="F24" s="2" t="s">
        <v>282</v>
      </c>
      <c r="G24" s="3">
        <v>0.54236111111111096</v>
      </c>
      <c r="H24" s="3">
        <v>0.33333333333333298</v>
      </c>
      <c r="I24" s="3">
        <f t="shared" si="2"/>
        <v>0.33333333333333298</v>
      </c>
      <c r="J24" s="3">
        <f>IF(G24&gt;I24,G24-I24,0)</f>
        <v>0.20902777777777798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270</v>
      </c>
      <c r="F27" s="2" t="s">
        <v>276</v>
      </c>
      <c r="G27" s="3">
        <v>0.54444444444444395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0.16944444444444395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256</v>
      </c>
      <c r="F28" s="2" t="s">
        <v>239</v>
      </c>
      <c r="G28" s="3">
        <v>0.55069444444444504</v>
      </c>
      <c r="H28" s="3">
        <v>0.375</v>
      </c>
      <c r="I28" s="3">
        <f t="shared" si="3"/>
        <v>0.375</v>
      </c>
      <c r="J28" s="3">
        <f>IF(G28&gt;I28,G28-I28,0)</f>
        <v>0.17569444444444504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272</v>
      </c>
      <c r="F29" s="2" t="s">
        <v>283</v>
      </c>
      <c r="G29" s="3">
        <v>0.54652777777777795</v>
      </c>
      <c r="H29" s="3">
        <v>0.375</v>
      </c>
      <c r="I29" s="3">
        <f t="shared" si="3"/>
        <v>0.375</v>
      </c>
      <c r="J29" s="3">
        <f>IF(G29&gt;I29,G29-I29,0)</f>
        <v>0.17152777777777795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247</v>
      </c>
      <c r="F30" s="2" t="s">
        <v>58</v>
      </c>
      <c r="G30" s="3">
        <v>0.55208333333333304</v>
      </c>
      <c r="H30" s="3">
        <v>0.375</v>
      </c>
      <c r="I30" s="3">
        <f t="shared" si="3"/>
        <v>0.375</v>
      </c>
      <c r="J30" s="3">
        <f>IF(G30&gt;I30,G30-I30,0)</f>
        <v>0.17708333333333304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272</v>
      </c>
      <c r="F31" s="2" t="s">
        <v>222</v>
      </c>
      <c r="G31" s="3">
        <v>0.53819444444444398</v>
      </c>
      <c r="H31" s="3">
        <v>0.33333333333333298</v>
      </c>
      <c r="I31" s="3">
        <f t="shared" si="3"/>
        <v>0.33333333333333298</v>
      </c>
      <c r="J31" s="3">
        <f>IF(G31&gt;I31,G31-I31,0)</f>
        <v>0.20486111111111099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>
        <v>2</v>
      </c>
      <c r="E32" s="4" t="s">
        <v>270</v>
      </c>
      <c r="F32" s="4" t="s">
        <v>284</v>
      </c>
      <c r="G32" s="5">
        <v>0.41249999999999998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0.41249999999999998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48</v>
      </c>
      <c r="E34" s="8"/>
      <c r="F34" s="8"/>
      <c r="G34" s="9">
        <f t="shared" ref="G34:N34" si="4">SUM(G3:G33)</f>
        <v>12.353472222222223</v>
      </c>
      <c r="H34" s="9">
        <f t="shared" si="4"/>
        <v>7.6666666666666652</v>
      </c>
      <c r="I34" s="9">
        <f t="shared" si="4"/>
        <v>7.2916666666666652</v>
      </c>
      <c r="J34" s="9">
        <f t="shared" si="4"/>
        <v>3.7243055555555582</v>
      </c>
      <c r="K34" s="9">
        <f t="shared" si="4"/>
        <v>0</v>
      </c>
      <c r="L34" s="9">
        <f t="shared" si="4"/>
        <v>0</v>
      </c>
      <c r="M34" s="9">
        <f t="shared" si="4"/>
        <v>1.3374999999999999</v>
      </c>
      <c r="N34" s="9">
        <f t="shared" si="4"/>
        <v>0.178472222222222</v>
      </c>
      <c r="O34" s="8"/>
      <c r="P34" s="8"/>
      <c r="Q34" s="8">
        <f>SUM(Q3:Q33)</f>
        <v>1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3.7243055555555582</v>
      </c>
      <c r="I36" s="11" t="s">
        <v>103</v>
      </c>
    </row>
    <row r="37" spans="1:19" ht="15.75" x14ac:dyDescent="0.25">
      <c r="H37" s="10">
        <f>IF(K34&lt;=J34, M34, IF(K34&lt;=J34+M34, J34+M34-K34, 0))</f>
        <v>1.3374999999999999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0.178472222222222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0"/>
  <sheetViews>
    <sheetView rightToLeft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I40" sqref="I40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285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129</v>
      </c>
      <c r="F3" s="2" t="s">
        <v>185</v>
      </c>
      <c r="G3" s="3">
        <v>0.33333333333333298</v>
      </c>
      <c r="H3" s="3">
        <v>0.33333333333333298</v>
      </c>
      <c r="I3" s="3">
        <f>MAX(H3-IF(R3="",0,R3),0)</f>
        <v>0.33333333333333298</v>
      </c>
      <c r="J3" s="3">
        <f>IF(G3&gt;I3,G3-I3,0)</f>
        <v>0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286</v>
      </c>
      <c r="F6" s="2" t="s">
        <v>281</v>
      </c>
      <c r="G6" s="3">
        <v>0.41944444444444501</v>
      </c>
      <c r="H6" s="3">
        <v>0.375</v>
      </c>
      <c r="I6" s="3">
        <f t="shared" ref="I6:I11" si="0">MAX(H6-IF(R6="",0,R6),0)</f>
        <v>0.375</v>
      </c>
      <c r="J6" s="3">
        <f>IF(G6&gt;I6,G6-I6,0)</f>
        <v>4.4444444444445008E-2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129</v>
      </c>
      <c r="F7" s="2" t="s">
        <v>283</v>
      </c>
      <c r="G7" s="3">
        <v>0.42777777777777798</v>
      </c>
      <c r="H7" s="3">
        <v>0.375</v>
      </c>
      <c r="I7" s="3">
        <f t="shared" si="0"/>
        <v>0.375</v>
      </c>
      <c r="J7" s="3">
        <f>IF(G7&gt;I7,G7-I7,0)</f>
        <v>5.2777777777777979E-2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287</v>
      </c>
      <c r="F8" s="2" t="s">
        <v>288</v>
      </c>
      <c r="G8" s="3">
        <v>0.31458333333333299</v>
      </c>
      <c r="H8" s="3">
        <v>0.375</v>
      </c>
      <c r="I8" s="3">
        <f t="shared" si="0"/>
        <v>0.375</v>
      </c>
      <c r="J8" s="3">
        <f>IF(G8&gt;I8,G8-I8,0)</f>
        <v>0</v>
      </c>
      <c r="K8" s="3">
        <f>IF(I8&gt;G8,I8-G8,0)</f>
        <v>6.0416666666667007E-2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117</v>
      </c>
      <c r="F9" s="2" t="s">
        <v>289</v>
      </c>
      <c r="G9" s="3">
        <v>0.41111111111111098</v>
      </c>
      <c r="H9" s="3">
        <v>0.375</v>
      </c>
      <c r="I9" s="3">
        <f t="shared" si="0"/>
        <v>0.375</v>
      </c>
      <c r="J9" s="3">
        <f>IF(G9&gt;I9,G9-I9,0)</f>
        <v>3.6111111111110983E-2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117</v>
      </c>
      <c r="F10" s="2" t="s">
        <v>112</v>
      </c>
      <c r="G10" s="3">
        <v>0.25</v>
      </c>
      <c r="H10" s="3">
        <v>0.33333333333333298</v>
      </c>
      <c r="I10" s="3">
        <f t="shared" si="0"/>
        <v>0.33333333333333298</v>
      </c>
      <c r="J10" s="3">
        <f>IF(G10&gt;I10,G10-I10,0)</f>
        <v>0</v>
      </c>
      <c r="K10" s="3">
        <f>IF(I10&gt;G10,I10-G10,0)</f>
        <v>8.3333333333332982E-2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>
        <v>2</v>
      </c>
      <c r="E11" s="4" t="s">
        <v>290</v>
      </c>
      <c r="F11" s="4" t="s">
        <v>291</v>
      </c>
      <c r="G11" s="5">
        <v>0.133333333333333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0.133333333333333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217</v>
      </c>
      <c r="F13" s="2" t="s">
        <v>292</v>
      </c>
      <c r="G13" s="3">
        <v>0.37638888888888899</v>
      </c>
      <c r="H13" s="3">
        <v>0.375</v>
      </c>
      <c r="I13" s="3">
        <f t="shared" ref="I13:I18" si="1">MAX(H13-IF(R13="",0,R13),0)</f>
        <v>0.375</v>
      </c>
      <c r="J13" s="3">
        <f>IF(G13&gt;I13,G13-I13,0)</f>
        <v>1.388888888888995E-3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117</v>
      </c>
      <c r="F14" s="2" t="s">
        <v>185</v>
      </c>
      <c r="G14" s="3">
        <v>0.375</v>
      </c>
      <c r="H14" s="3">
        <v>0.375</v>
      </c>
      <c r="I14" s="3">
        <f t="shared" si="1"/>
        <v>0.375</v>
      </c>
      <c r="J14" s="3">
        <f>IF(G14&gt;I14,G14-I14,0)</f>
        <v>0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187</v>
      </c>
      <c r="F15" s="2" t="s">
        <v>37</v>
      </c>
      <c r="G15" s="3">
        <v>0.375</v>
      </c>
      <c r="H15" s="3">
        <v>0.375</v>
      </c>
      <c r="I15" s="3">
        <f t="shared" si="1"/>
        <v>0.375</v>
      </c>
      <c r="J15" s="3">
        <f>IF(G15&gt;I15,G15-I15,0)</f>
        <v>0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117</v>
      </c>
      <c r="F16" s="2" t="s">
        <v>293</v>
      </c>
      <c r="G16" s="3">
        <v>0.34583333333333299</v>
      </c>
      <c r="H16" s="3">
        <v>0.375</v>
      </c>
      <c r="I16" s="3">
        <f t="shared" si="1"/>
        <v>0.375</v>
      </c>
      <c r="J16" s="3">
        <f>IF(G16&gt;I16,G16-I16,0)</f>
        <v>0</v>
      </c>
      <c r="K16" s="3">
        <f>IF(I16&gt;G16,I16-G16,0)</f>
        <v>2.9166666666667007E-2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/>
      <c r="E17" s="2" t="s">
        <v>27</v>
      </c>
      <c r="F17" s="2" t="s">
        <v>27</v>
      </c>
      <c r="G17" s="3">
        <v>0</v>
      </c>
      <c r="H17" s="3">
        <v>0.33333333333333298</v>
      </c>
      <c r="I17" s="3">
        <f t="shared" si="1"/>
        <v>0.33333333333333298</v>
      </c>
      <c r="J17" s="3">
        <f>IF(G17&gt;I17,G17-I17,0)</f>
        <v>0</v>
      </c>
      <c r="K17" s="3">
        <f>IF(I17&gt;G17,I17-G17,0)</f>
        <v>0.33333333333333298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294</v>
      </c>
      <c r="F20" s="2" t="s">
        <v>295</v>
      </c>
      <c r="G20" s="3">
        <v>0.40972222222222199</v>
      </c>
      <c r="H20" s="3">
        <v>0.375</v>
      </c>
      <c r="I20" s="3">
        <f t="shared" ref="I20:I25" si="2">MAX(H20-IF(R20="",0,R20),0)</f>
        <v>0.375</v>
      </c>
      <c r="J20" s="3">
        <f>IF(G20&gt;I20,G20-I20,0)</f>
        <v>3.4722222222221988E-2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225</v>
      </c>
      <c r="F21" s="2" t="s">
        <v>296</v>
      </c>
      <c r="G21" s="3">
        <v>0.36875000000000002</v>
      </c>
      <c r="H21" s="3">
        <v>0.375</v>
      </c>
      <c r="I21" s="3">
        <f t="shared" si="2"/>
        <v>0.375</v>
      </c>
      <c r="J21" s="3">
        <f>IF(G21&gt;I21,G21-I21,0)</f>
        <v>0</v>
      </c>
      <c r="K21" s="3">
        <f>IF(I21&gt;G21,I21-G21,0)</f>
        <v>6.2499999999999778E-3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297</v>
      </c>
      <c r="F22" s="2" t="s">
        <v>298</v>
      </c>
      <c r="G22" s="3">
        <v>0.30347222222222198</v>
      </c>
      <c r="H22" s="3">
        <v>0.375</v>
      </c>
      <c r="I22" s="3">
        <f t="shared" si="2"/>
        <v>0.375</v>
      </c>
      <c r="J22" s="3">
        <f>IF(G22&gt;I22,G22-I22,0)</f>
        <v>0</v>
      </c>
      <c r="K22" s="3">
        <f>IF(I22&gt;G22,I22-G22,0)</f>
        <v>7.1527777777778023E-2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187</v>
      </c>
      <c r="F23" s="2" t="s">
        <v>299</v>
      </c>
      <c r="G23" s="3">
        <v>0.33958333333333302</v>
      </c>
      <c r="H23" s="3">
        <v>0.375</v>
      </c>
      <c r="I23" s="3">
        <f t="shared" si="2"/>
        <v>0.375</v>
      </c>
      <c r="J23" s="3">
        <f>IF(G23&gt;I23,G23-I23,0)</f>
        <v>0</v>
      </c>
      <c r="K23" s="3">
        <f>IF(I23&gt;G23,I23-G23,0)</f>
        <v>3.5416666666666985E-2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187</v>
      </c>
      <c r="F24" s="2" t="s">
        <v>250</v>
      </c>
      <c r="G24" s="3">
        <v>0.296527777777778</v>
      </c>
      <c r="H24" s="3">
        <v>0.33333333333333298</v>
      </c>
      <c r="I24" s="3">
        <f t="shared" si="2"/>
        <v>0.33333333333333298</v>
      </c>
      <c r="J24" s="3">
        <f>IF(G24&gt;I24,G24-I24,0)</f>
        <v>0</v>
      </c>
      <c r="K24" s="3">
        <f>IF(I24&gt;G24,I24-G24,0)</f>
        <v>3.6805555555554981E-2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300</v>
      </c>
      <c r="F27" s="2" t="s">
        <v>229</v>
      </c>
      <c r="G27" s="3">
        <v>0.40972222222222199</v>
      </c>
      <c r="H27" s="3">
        <v>0.375</v>
      </c>
      <c r="I27" s="3">
        <f t="shared" ref="I27:I32" si="3">MAX(H27-IF(R27="",0,R27),0)</f>
        <v>0.375</v>
      </c>
      <c r="J27" s="3">
        <f>IF(G27&gt;I27,G27-I27,0)</f>
        <v>3.4722222222221988E-2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171</v>
      </c>
      <c r="F28" s="2" t="s">
        <v>301</v>
      </c>
      <c r="G28" s="3">
        <v>0.49027777777777798</v>
      </c>
      <c r="H28" s="3">
        <v>0.375</v>
      </c>
      <c r="I28" s="3">
        <f t="shared" si="3"/>
        <v>0.375</v>
      </c>
      <c r="J28" s="3">
        <f>IF(G28&gt;I28,G28-I28,0)</f>
        <v>0.11527777777777798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129</v>
      </c>
      <c r="F29" s="2" t="s">
        <v>111</v>
      </c>
      <c r="G29" s="3">
        <v>0.375</v>
      </c>
      <c r="H29" s="3">
        <v>0.375</v>
      </c>
      <c r="I29" s="3">
        <f t="shared" si="3"/>
        <v>0.375</v>
      </c>
      <c r="J29" s="3">
        <f>IF(G29&gt;I29,G29-I29,0)</f>
        <v>0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90</v>
      </c>
      <c r="F30" s="2" t="s">
        <v>302</v>
      </c>
      <c r="G30" s="3">
        <v>0.390277777777778</v>
      </c>
      <c r="H30" s="3">
        <v>0.375</v>
      </c>
      <c r="I30" s="3">
        <f t="shared" si="3"/>
        <v>0.375</v>
      </c>
      <c r="J30" s="3">
        <f>IF(G30&gt;I30,G30-I30,0)</f>
        <v>1.5277777777778001E-2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129</v>
      </c>
      <c r="F31" s="2" t="s">
        <v>229</v>
      </c>
      <c r="G31" s="3">
        <v>0.39583333333333298</v>
      </c>
      <c r="H31" s="3">
        <v>0.33333333333333298</v>
      </c>
      <c r="I31" s="3">
        <f t="shared" si="3"/>
        <v>0.33333333333333298</v>
      </c>
      <c r="J31" s="3">
        <f>IF(G31&gt;I31,G31-I31,0)</f>
        <v>6.25E-2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42</v>
      </c>
      <c r="E34" s="8"/>
      <c r="F34" s="8"/>
      <c r="G34" s="9">
        <f t="shared" ref="G34:N34" si="4">SUM(G3:G33)</f>
        <v>7.5409722222222229</v>
      </c>
      <c r="H34" s="9">
        <f t="shared" si="4"/>
        <v>7.6666666666666652</v>
      </c>
      <c r="I34" s="9">
        <f t="shared" si="4"/>
        <v>7.6666666666666652</v>
      </c>
      <c r="J34" s="9">
        <f t="shared" si="4"/>
        <v>0.39722222222222292</v>
      </c>
      <c r="K34" s="9">
        <f t="shared" si="4"/>
        <v>0.65625</v>
      </c>
      <c r="L34" s="9">
        <f t="shared" si="4"/>
        <v>0</v>
      </c>
      <c r="M34" s="9">
        <f t="shared" si="4"/>
        <v>0.133333333333333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0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0.12569444444444408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0"/>
  <sheetViews>
    <sheetView rightToLeft="1"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K51" sqref="K51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303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/>
      <c r="E3" s="2" t="s">
        <v>27</v>
      </c>
      <c r="F3" s="2" t="s">
        <v>27</v>
      </c>
      <c r="G3" s="3">
        <v>0</v>
      </c>
      <c r="H3" s="3">
        <v>0.33333333333333298</v>
      </c>
      <c r="I3" s="3">
        <f>MAX(H3-IF(R3="",0,R3),0)</f>
        <v>0.33333333333333298</v>
      </c>
      <c r="J3" s="3">
        <f>IF(G3&gt;I3,G3-I3,0)</f>
        <v>0</v>
      </c>
      <c r="K3" s="3">
        <f>IF(I3&gt;G3,I3-G3,0)</f>
        <v>0.33333333333333298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/>
      <c r="E6" s="2" t="s">
        <v>27</v>
      </c>
      <c r="F6" s="2" t="s">
        <v>27</v>
      </c>
      <c r="G6" s="3">
        <v>0</v>
      </c>
      <c r="H6" s="3">
        <v>0.375</v>
      </c>
      <c r="I6" s="3">
        <f t="shared" ref="I6:I11" si="0">MAX(H6-IF(R6="",0,R6),0)</f>
        <v>0.375</v>
      </c>
      <c r="J6" s="3">
        <f>IF(G6&gt;I6,G6-I6,0)</f>
        <v>0</v>
      </c>
      <c r="K6" s="3">
        <f>IF(I6&gt;G6,I6-G6,0)</f>
        <v>0.375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/>
      <c r="E7" s="2" t="s">
        <v>27</v>
      </c>
      <c r="F7" s="2" t="s">
        <v>27</v>
      </c>
      <c r="G7" s="3">
        <v>0</v>
      </c>
      <c r="H7" s="3">
        <v>0.375</v>
      </c>
      <c r="I7" s="3">
        <f t="shared" si="0"/>
        <v>0.375</v>
      </c>
      <c r="J7" s="3">
        <f>IF(G7&gt;I7,G7-I7,0)</f>
        <v>0</v>
      </c>
      <c r="K7" s="3">
        <f>IF(I7&gt;G7,I7-G7,0)</f>
        <v>0.375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/>
      <c r="E8" s="2" t="s">
        <v>27</v>
      </c>
      <c r="F8" s="2" t="s">
        <v>27</v>
      </c>
      <c r="G8" s="3">
        <v>0</v>
      </c>
      <c r="H8" s="3">
        <v>0.375</v>
      </c>
      <c r="I8" s="3">
        <f t="shared" si="0"/>
        <v>0.375</v>
      </c>
      <c r="J8" s="3">
        <f>IF(G8&gt;I8,G8-I8,0)</f>
        <v>0</v>
      </c>
      <c r="K8" s="3">
        <f>IF(I8&gt;G8,I8-G8,0)</f>
        <v>0.375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/>
      <c r="E9" s="2" t="s">
        <v>27</v>
      </c>
      <c r="F9" s="2" t="s">
        <v>27</v>
      </c>
      <c r="G9" s="3">
        <v>0</v>
      </c>
      <c r="H9" s="3">
        <v>0.375</v>
      </c>
      <c r="I9" s="3">
        <f t="shared" si="0"/>
        <v>0.375</v>
      </c>
      <c r="J9" s="3">
        <f>IF(G9&gt;I9,G9-I9,0)</f>
        <v>0</v>
      </c>
      <c r="K9" s="3">
        <f>IF(I9&gt;G9,I9-G9,0)</f>
        <v>0.375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/>
      <c r="E10" s="2" t="s">
        <v>27</v>
      </c>
      <c r="F10" s="2" t="s">
        <v>27</v>
      </c>
      <c r="G10" s="3">
        <v>0</v>
      </c>
      <c r="H10" s="3">
        <v>0.33333333333333298</v>
      </c>
      <c r="I10" s="3">
        <f t="shared" si="0"/>
        <v>0.33333333333333298</v>
      </c>
      <c r="J10" s="3">
        <f>IF(G10&gt;I10,G10-I10,0)</f>
        <v>0</v>
      </c>
      <c r="K10" s="3">
        <f>IF(I10&gt;G10,I10-G10,0)</f>
        <v>0.33333333333333298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/>
      <c r="E13" s="2" t="s">
        <v>27</v>
      </c>
      <c r="F13" s="2" t="s">
        <v>27</v>
      </c>
      <c r="G13" s="3">
        <v>0</v>
      </c>
      <c r="H13" s="3">
        <v>0.375</v>
      </c>
      <c r="I13" s="3">
        <f t="shared" ref="I13:I18" si="1">MAX(H13-IF(R13="",0,R13),0)</f>
        <v>0.375</v>
      </c>
      <c r="J13" s="3">
        <f>IF(G13&gt;I13,G13-I13,0)</f>
        <v>0</v>
      </c>
      <c r="K13" s="3">
        <f>IF(I13&gt;G13,I13-G13,0)</f>
        <v>0.375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/>
      <c r="E14" s="2" t="s">
        <v>27</v>
      </c>
      <c r="F14" s="2" t="s">
        <v>27</v>
      </c>
      <c r="G14" s="3">
        <v>0</v>
      </c>
      <c r="H14" s="3">
        <v>0.375</v>
      </c>
      <c r="I14" s="3">
        <f t="shared" si="1"/>
        <v>0.375</v>
      </c>
      <c r="J14" s="3">
        <f>IF(G14&gt;I14,G14-I14,0)</f>
        <v>0</v>
      </c>
      <c r="K14" s="3">
        <f>IF(I14&gt;G14,I14-G14,0)</f>
        <v>0.375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/>
      <c r="E15" s="2" t="s">
        <v>27</v>
      </c>
      <c r="F15" s="2" t="s">
        <v>27</v>
      </c>
      <c r="G15" s="3">
        <v>0</v>
      </c>
      <c r="H15" s="3">
        <v>0.375</v>
      </c>
      <c r="I15" s="3">
        <f t="shared" si="1"/>
        <v>0.375</v>
      </c>
      <c r="J15" s="3">
        <f>IF(G15&gt;I15,G15-I15,0)</f>
        <v>0</v>
      </c>
      <c r="K15" s="3">
        <f>IF(I15&gt;G15,I15-G15,0)</f>
        <v>0.375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/>
      <c r="E16" s="2" t="s">
        <v>27</v>
      </c>
      <c r="F16" s="2" t="s">
        <v>27</v>
      </c>
      <c r="G16" s="3">
        <v>0</v>
      </c>
      <c r="H16" s="3">
        <v>0.375</v>
      </c>
      <c r="I16" s="3">
        <f t="shared" si="1"/>
        <v>0.375</v>
      </c>
      <c r="J16" s="3">
        <f>IF(G16&gt;I16,G16-I16,0)</f>
        <v>0</v>
      </c>
      <c r="K16" s="3">
        <f>IF(I16&gt;G16,I16-G16,0)</f>
        <v>0.375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/>
      <c r="E17" s="2" t="s">
        <v>27</v>
      </c>
      <c r="F17" s="2" t="s">
        <v>27</v>
      </c>
      <c r="G17" s="3">
        <v>0</v>
      </c>
      <c r="H17" s="3">
        <v>0.33333333333333298</v>
      </c>
      <c r="I17" s="3">
        <f t="shared" si="1"/>
        <v>0.33333333333333298</v>
      </c>
      <c r="J17" s="3">
        <f>IF(G17&gt;I17,G17-I17,0)</f>
        <v>0</v>
      </c>
      <c r="K17" s="3">
        <f>IF(I17&gt;G17,I17-G17,0)</f>
        <v>0.33333333333333298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/>
      <c r="E20" s="2" t="s">
        <v>27</v>
      </c>
      <c r="F20" s="2" t="s">
        <v>27</v>
      </c>
      <c r="G20" s="3">
        <v>0</v>
      </c>
      <c r="H20" s="3">
        <v>0.375</v>
      </c>
      <c r="I20" s="3">
        <f t="shared" ref="I20:I25" si="2">MAX(H20-IF(R20="",0,R20),0)</f>
        <v>0.375</v>
      </c>
      <c r="J20" s="3">
        <f>IF(G20&gt;I20,G20-I20,0)</f>
        <v>0</v>
      </c>
      <c r="K20" s="3">
        <f>IF(I20&gt;G20,I20-G20,0)</f>
        <v>0.375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/>
      <c r="E21" s="2" t="s">
        <v>27</v>
      </c>
      <c r="F21" s="2" t="s">
        <v>27</v>
      </c>
      <c r="G21" s="3">
        <v>0</v>
      </c>
      <c r="H21" s="3">
        <v>0.375</v>
      </c>
      <c r="I21" s="3">
        <f t="shared" si="2"/>
        <v>0.375</v>
      </c>
      <c r="J21" s="3">
        <f>IF(G21&gt;I21,G21-I21,0)</f>
        <v>0</v>
      </c>
      <c r="K21" s="3">
        <f>IF(I21&gt;G21,I21-G21,0)</f>
        <v>0.375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/>
      <c r="E22" s="2" t="s">
        <v>27</v>
      </c>
      <c r="F22" s="2" t="s">
        <v>27</v>
      </c>
      <c r="G22" s="3">
        <v>0</v>
      </c>
      <c r="H22" s="3">
        <v>0.375</v>
      </c>
      <c r="I22" s="3">
        <f t="shared" si="2"/>
        <v>0.375</v>
      </c>
      <c r="J22" s="3">
        <f>IF(G22&gt;I22,G22-I22,0)</f>
        <v>0</v>
      </c>
      <c r="K22" s="3">
        <f>IF(I22&gt;G22,I22-G22,0)</f>
        <v>0.375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/>
      <c r="E23" s="2" t="s">
        <v>27</v>
      </c>
      <c r="F23" s="2" t="s">
        <v>27</v>
      </c>
      <c r="G23" s="3">
        <v>0</v>
      </c>
      <c r="H23" s="3">
        <v>0.375</v>
      </c>
      <c r="I23" s="3">
        <f t="shared" si="2"/>
        <v>0.375</v>
      </c>
      <c r="J23" s="3">
        <f>IF(G23&gt;I23,G23-I23,0)</f>
        <v>0</v>
      </c>
      <c r="K23" s="3">
        <f>IF(I23&gt;G23,I23-G23,0)</f>
        <v>0.375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/>
      <c r="E24" s="2" t="s">
        <v>27</v>
      </c>
      <c r="F24" s="2" t="s">
        <v>27</v>
      </c>
      <c r="G24" s="3">
        <v>0</v>
      </c>
      <c r="H24" s="3">
        <v>0.33333333333333298</v>
      </c>
      <c r="I24" s="3">
        <f t="shared" si="2"/>
        <v>0.33333333333333298</v>
      </c>
      <c r="J24" s="3">
        <f>IF(G24&gt;I24,G24-I24,0)</f>
        <v>0</v>
      </c>
      <c r="K24" s="3">
        <f>IF(I24&gt;G24,I24-G24,0)</f>
        <v>0.33333333333333298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/>
      <c r="E27" s="2" t="s">
        <v>27</v>
      </c>
      <c r="F27" s="2" t="s">
        <v>27</v>
      </c>
      <c r="G27" s="3">
        <v>0</v>
      </c>
      <c r="H27" s="3">
        <v>0.375</v>
      </c>
      <c r="I27" s="3">
        <f t="shared" ref="I27:I32" si="3">MAX(H27-IF(R27="",0,R27),0)</f>
        <v>0.375</v>
      </c>
      <c r="J27" s="3">
        <f>IF(G27&gt;I27,G27-I27,0)</f>
        <v>0</v>
      </c>
      <c r="K27" s="3">
        <f>IF(I27&gt;G27,I27-G27,0)</f>
        <v>0.375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/>
      <c r="E28" s="2" t="s">
        <v>27</v>
      </c>
      <c r="F28" s="2" t="s">
        <v>27</v>
      </c>
      <c r="G28" s="3">
        <v>0</v>
      </c>
      <c r="H28" s="3">
        <v>0.375</v>
      </c>
      <c r="I28" s="3">
        <f t="shared" si="3"/>
        <v>0.375</v>
      </c>
      <c r="J28" s="3">
        <f>IF(G28&gt;I28,G28-I28,0)</f>
        <v>0</v>
      </c>
      <c r="K28" s="3">
        <f>IF(I28&gt;G28,I28-G28,0)</f>
        <v>0.375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/>
      <c r="E29" s="2" t="s">
        <v>27</v>
      </c>
      <c r="F29" s="2" t="s">
        <v>27</v>
      </c>
      <c r="G29" s="3">
        <v>0</v>
      </c>
      <c r="H29" s="3">
        <v>0.375</v>
      </c>
      <c r="I29" s="3">
        <f t="shared" si="3"/>
        <v>0.375</v>
      </c>
      <c r="J29" s="3">
        <f>IF(G29&gt;I29,G29-I29,0)</f>
        <v>0</v>
      </c>
      <c r="K29" s="3">
        <f>IF(I29&gt;G29,I29-G29,0)</f>
        <v>0.375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/>
      <c r="E30" s="2" t="s">
        <v>27</v>
      </c>
      <c r="F30" s="2" t="s">
        <v>27</v>
      </c>
      <c r="G30" s="3">
        <v>0</v>
      </c>
      <c r="H30" s="3">
        <v>0.375</v>
      </c>
      <c r="I30" s="3">
        <f t="shared" si="3"/>
        <v>0.375</v>
      </c>
      <c r="J30" s="3">
        <f>IF(G30&gt;I30,G30-I30,0)</f>
        <v>0</v>
      </c>
      <c r="K30" s="3">
        <f>IF(I30&gt;G30,I30-G30,0)</f>
        <v>0.375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/>
      <c r="E31" s="2" t="s">
        <v>27</v>
      </c>
      <c r="F31" s="2" t="s">
        <v>27</v>
      </c>
      <c r="G31" s="3">
        <v>0</v>
      </c>
      <c r="H31" s="3">
        <v>0.33333333333333298</v>
      </c>
      <c r="I31" s="3">
        <f t="shared" si="3"/>
        <v>0.33333333333333298</v>
      </c>
      <c r="J31" s="3">
        <f>IF(G31&gt;I31,G31-I31,0)</f>
        <v>0</v>
      </c>
      <c r="K31" s="3">
        <f>IF(I31&gt;G31,I31-G31,0)</f>
        <v>0.33333333333333298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0</v>
      </c>
      <c r="E34" s="8"/>
      <c r="F34" s="8"/>
      <c r="G34" s="9">
        <f t="shared" ref="G34:N34" si="4">SUM(G3:G33)</f>
        <v>0</v>
      </c>
      <c r="H34" s="9">
        <f t="shared" si="4"/>
        <v>7.6666666666666652</v>
      </c>
      <c r="I34" s="9">
        <f t="shared" si="4"/>
        <v>7.6666666666666652</v>
      </c>
      <c r="J34" s="9">
        <f t="shared" si="4"/>
        <v>0</v>
      </c>
      <c r="K34" s="9">
        <f t="shared" si="4"/>
        <v>7.6666666666666652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v>1.25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0"/>
  <sheetViews>
    <sheetView rightToLeft="1"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K42" sqref="K42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304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258</v>
      </c>
      <c r="F3" s="2" t="s">
        <v>305</v>
      </c>
      <c r="G3" s="3">
        <v>0.52638888888888902</v>
      </c>
      <c r="H3" s="3">
        <v>0.33333333333333298</v>
      </c>
      <c r="I3" s="3">
        <f>MAX(H3-IF(R3="",0,R3),0)</f>
        <v>0.33333333333333298</v>
      </c>
      <c r="J3" s="3">
        <f>IF(G3&gt;I3,G3-I3,0)</f>
        <v>0.19305555555555604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>
        <v>2</v>
      </c>
      <c r="E4" s="4" t="s">
        <v>164</v>
      </c>
      <c r="F4" s="4" t="s">
        <v>306</v>
      </c>
      <c r="G4" s="5">
        <v>0.37083333333333302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0.37083333333333302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247</v>
      </c>
      <c r="F6" s="2" t="s">
        <v>301</v>
      </c>
      <c r="G6" s="3">
        <v>0.56041666666666701</v>
      </c>
      <c r="H6" s="3">
        <v>0.375</v>
      </c>
      <c r="I6" s="3">
        <f t="shared" ref="I6:I11" si="0">MAX(H6-IF(R6="",0,R6),0)</f>
        <v>0.375</v>
      </c>
      <c r="J6" s="3">
        <f>IF(G6&gt;I6,G6-I6,0)</f>
        <v>0.18541666666666701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175</v>
      </c>
      <c r="F7" s="2" t="s">
        <v>74</v>
      </c>
      <c r="G7" s="3">
        <v>0.55347222222222203</v>
      </c>
      <c r="H7" s="3">
        <v>0.375</v>
      </c>
      <c r="I7" s="3">
        <f t="shared" si="0"/>
        <v>0.375</v>
      </c>
      <c r="J7" s="3">
        <f>IF(G7&gt;I7,G7-I7,0)</f>
        <v>0.17847222222222203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164</v>
      </c>
      <c r="F8" s="2" t="s">
        <v>307</v>
      </c>
      <c r="G8" s="3">
        <v>0.58194444444444504</v>
      </c>
      <c r="H8" s="3">
        <v>0.375</v>
      </c>
      <c r="I8" s="3">
        <f t="shared" si="0"/>
        <v>0.375</v>
      </c>
      <c r="J8" s="3">
        <f>IF(G8&gt;I8,G8-I8,0)</f>
        <v>0.20694444444444504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258</v>
      </c>
      <c r="F9" s="2" t="s">
        <v>308</v>
      </c>
      <c r="G9" s="3">
        <v>0.53749999999999998</v>
      </c>
      <c r="H9" s="3">
        <v>0.375</v>
      </c>
      <c r="I9" s="3">
        <f t="shared" si="0"/>
        <v>0.375</v>
      </c>
      <c r="J9" s="3">
        <f>IF(G9&gt;I9,G9-I9,0)</f>
        <v>0.16249999999999998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256</v>
      </c>
      <c r="F10" s="2" t="s">
        <v>309</v>
      </c>
      <c r="G10" s="3">
        <v>0.54722222222222205</v>
      </c>
      <c r="H10" s="3">
        <v>0.33333333333333298</v>
      </c>
      <c r="I10" s="3">
        <f t="shared" si="0"/>
        <v>0.33333333333333298</v>
      </c>
      <c r="J10" s="3">
        <f>IF(G10&gt;I10,G10-I10,0)</f>
        <v>0.21388888888888907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>
        <v>2</v>
      </c>
      <c r="E11" s="4" t="s">
        <v>152</v>
      </c>
      <c r="F11" s="4" t="s">
        <v>310</v>
      </c>
      <c r="G11" s="5">
        <v>0.42499999999999999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0.42499999999999999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258</v>
      </c>
      <c r="F13" s="2" t="s">
        <v>311</v>
      </c>
      <c r="G13" s="3">
        <v>0.54861111111111105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0.17361111111111105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152</v>
      </c>
      <c r="F14" s="2" t="s">
        <v>275</v>
      </c>
      <c r="G14" s="3">
        <v>0.55138888888888904</v>
      </c>
      <c r="H14" s="3">
        <v>0.375</v>
      </c>
      <c r="I14" s="3">
        <f t="shared" si="1"/>
        <v>0.375</v>
      </c>
      <c r="J14" s="3">
        <f>IF(G14&gt;I14,G14-I14,0)</f>
        <v>0.17638888888888904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270</v>
      </c>
      <c r="F15" s="2" t="s">
        <v>276</v>
      </c>
      <c r="G15" s="3">
        <v>0.54444444444444395</v>
      </c>
      <c r="H15" s="3">
        <v>0.375</v>
      </c>
      <c r="I15" s="3">
        <f t="shared" si="1"/>
        <v>0.375</v>
      </c>
      <c r="J15" s="3">
        <f>IF(G15&gt;I15,G15-I15,0)</f>
        <v>0.16944444444444395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175</v>
      </c>
      <c r="F16" s="2" t="s">
        <v>312</v>
      </c>
      <c r="G16" s="3">
        <v>0.50555555555555598</v>
      </c>
      <c r="H16" s="3">
        <v>0.375</v>
      </c>
      <c r="I16" s="3">
        <f t="shared" si="1"/>
        <v>0.375</v>
      </c>
      <c r="J16" s="3">
        <f>IF(G16&gt;I16,G16-I16,0)</f>
        <v>0.13055555555555598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175</v>
      </c>
      <c r="F17" s="2" t="s">
        <v>313</v>
      </c>
      <c r="G17" s="3">
        <v>0.54930555555555605</v>
      </c>
      <c r="H17" s="3">
        <v>0.33333333333333298</v>
      </c>
      <c r="I17" s="3">
        <f t="shared" si="1"/>
        <v>0.33333333333333298</v>
      </c>
      <c r="J17" s="3">
        <f>IF(G17&gt;I17,G17-I17,0)</f>
        <v>0.21597222222222306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249</v>
      </c>
      <c r="F20" s="2" t="s">
        <v>44</v>
      </c>
      <c r="G20" s="3">
        <v>0.54513888888888895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0.17013888888888895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164</v>
      </c>
      <c r="F21" s="2" t="s">
        <v>314</v>
      </c>
      <c r="G21" s="3">
        <v>0.59166666666666701</v>
      </c>
      <c r="H21" s="3">
        <v>0.375</v>
      </c>
      <c r="I21" s="3">
        <f t="shared" si="2"/>
        <v>0.375</v>
      </c>
      <c r="J21" s="3">
        <f>IF(G21&gt;I21,G21-I21,0)</f>
        <v>0.21666666666666701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4</v>
      </c>
      <c r="E22" s="2" t="s">
        <v>258</v>
      </c>
      <c r="F22" s="2" t="s">
        <v>257</v>
      </c>
      <c r="G22" s="3">
        <v>0.55277777777777803</v>
      </c>
      <c r="H22" s="3">
        <v>0.375</v>
      </c>
      <c r="I22" s="3">
        <f t="shared" si="2"/>
        <v>0.375</v>
      </c>
      <c r="J22" s="3">
        <f>IF(G22&gt;I22,G22-I22,0)</f>
        <v>0.17777777777777803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175</v>
      </c>
      <c r="F23" s="2" t="s">
        <v>315</v>
      </c>
      <c r="G23" s="3">
        <v>0.53819444444444398</v>
      </c>
      <c r="H23" s="3">
        <v>0.375</v>
      </c>
      <c r="I23" s="3">
        <f t="shared" si="2"/>
        <v>0.375</v>
      </c>
      <c r="J23" s="3">
        <f>IF(G23&gt;I23,G23-I23,0)</f>
        <v>0.16319444444444398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43</v>
      </c>
      <c r="F24" s="2" t="s">
        <v>282</v>
      </c>
      <c r="G24" s="3">
        <v>0.40625</v>
      </c>
      <c r="H24" s="3">
        <v>0.33333333333333298</v>
      </c>
      <c r="I24" s="3">
        <f t="shared" si="2"/>
        <v>0.2777777777777774</v>
      </c>
      <c r="J24" s="3">
        <f>IF(G24&gt;I24,G24-I24,0)</f>
        <v>0.1284722222222226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3">
        <v>5.5555555555555601E-2</v>
      </c>
      <c r="S24" s="2"/>
    </row>
    <row r="25" spans="1:19" x14ac:dyDescent="0.25">
      <c r="A25" s="4"/>
      <c r="B25" s="4" t="s">
        <v>25</v>
      </c>
      <c r="C25" s="4" t="s">
        <v>81</v>
      </c>
      <c r="D25" s="4">
        <v>2</v>
      </c>
      <c r="E25" s="4" t="s">
        <v>251</v>
      </c>
      <c r="F25" s="4" t="s">
        <v>288</v>
      </c>
      <c r="G25" s="5">
        <v>0.41527777777777802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0.41527777777777802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>
        <v>2</v>
      </c>
      <c r="E26" s="6" t="s">
        <v>117</v>
      </c>
      <c r="F26" s="6" t="s">
        <v>278</v>
      </c>
      <c r="G26" s="7">
        <v>0.38541666666666702</v>
      </c>
      <c r="H26" s="7">
        <v>0</v>
      </c>
      <c r="I26" s="7">
        <v>0</v>
      </c>
      <c r="J26" s="7">
        <v>0</v>
      </c>
      <c r="K26" s="7">
        <v>0</v>
      </c>
      <c r="L26" s="7">
        <v>0.38541666666666702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316</v>
      </c>
      <c r="F27" s="2" t="s">
        <v>317</v>
      </c>
      <c r="G27" s="3">
        <v>0.56041666666666701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0.18541666666666701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108</v>
      </c>
      <c r="F28" s="2" t="s">
        <v>318</v>
      </c>
      <c r="G28" s="3">
        <v>0.436805555555556</v>
      </c>
      <c r="H28" s="3">
        <v>0.375</v>
      </c>
      <c r="I28" s="3">
        <f t="shared" si="3"/>
        <v>0.34027777777777779</v>
      </c>
      <c r="J28" s="3">
        <f>IF(G28&gt;I28,G28-I28,0)</f>
        <v>9.6527777777778212E-2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3">
        <v>3.4722222222222203E-2</v>
      </c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164</v>
      </c>
      <c r="F29" s="2" t="s">
        <v>233</v>
      </c>
      <c r="G29" s="3">
        <v>0.53125</v>
      </c>
      <c r="H29" s="3">
        <v>0.375</v>
      </c>
      <c r="I29" s="3">
        <f t="shared" si="3"/>
        <v>0.375</v>
      </c>
      <c r="J29" s="3">
        <f>IF(G29&gt;I29,G29-I29,0)</f>
        <v>0.15625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277</v>
      </c>
      <c r="F30" s="2" t="s">
        <v>58</v>
      </c>
      <c r="G30" s="3">
        <v>0.55000000000000004</v>
      </c>
      <c r="H30" s="3">
        <v>0.375</v>
      </c>
      <c r="I30" s="3">
        <f t="shared" si="3"/>
        <v>0.375</v>
      </c>
      <c r="J30" s="3">
        <f>IF(G30&gt;I30,G30-I30,0)</f>
        <v>0.17500000000000004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277</v>
      </c>
      <c r="F31" s="2" t="s">
        <v>282</v>
      </c>
      <c r="G31" s="3">
        <v>0.53749999999999998</v>
      </c>
      <c r="H31" s="3">
        <v>0.33333333333333298</v>
      </c>
      <c r="I31" s="3">
        <f t="shared" si="3"/>
        <v>0.33333333333333298</v>
      </c>
      <c r="J31" s="3">
        <f>IF(G31&gt;I31,G31-I31,0)</f>
        <v>0.204166666666667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52</v>
      </c>
      <c r="E34" s="8"/>
      <c r="F34" s="8"/>
      <c r="G34" s="9">
        <f t="shared" ref="G34:N34" si="4">SUM(G3:G33)</f>
        <v>12.852777777777781</v>
      </c>
      <c r="H34" s="9">
        <f t="shared" si="4"/>
        <v>7.6666666666666652</v>
      </c>
      <c r="I34" s="9">
        <f t="shared" si="4"/>
        <v>7.5763888888888875</v>
      </c>
      <c r="J34" s="9">
        <f t="shared" si="4"/>
        <v>3.6798611111111152</v>
      </c>
      <c r="K34" s="9">
        <f t="shared" si="4"/>
        <v>0</v>
      </c>
      <c r="L34" s="9">
        <f t="shared" si="4"/>
        <v>0.38541666666666702</v>
      </c>
      <c r="M34" s="9">
        <f t="shared" si="4"/>
        <v>1.211111111111111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9.0277777777777804E-2</v>
      </c>
      <c r="S34" s="8">
        <f>SUM(S3:S33)</f>
        <v>0</v>
      </c>
    </row>
    <row r="36" spans="1:19" ht="15.75" x14ac:dyDescent="0.25">
      <c r="H36" s="10">
        <f>IF(J34&gt;=K34, J34-K34, 0)</f>
        <v>3.6798611111111152</v>
      </c>
      <c r="I36" s="11" t="s">
        <v>103</v>
      </c>
    </row>
    <row r="37" spans="1:19" ht="15.75" x14ac:dyDescent="0.25">
      <c r="H37" s="10">
        <f>IF(K34&lt;=J34, M34, IF(K34&lt;=J34+M34, J34+M34-K34, 0))</f>
        <v>1.211111111111111</v>
      </c>
      <c r="I37" s="11" t="s">
        <v>104</v>
      </c>
    </row>
    <row r="38" spans="1:19" ht="15.75" x14ac:dyDescent="0.25">
      <c r="H38" s="10">
        <f>L34</f>
        <v>0.38541666666666702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0"/>
  <sheetViews>
    <sheetView rightToLeft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I40" sqref="I40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319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320</v>
      </c>
      <c r="F3" s="2" t="s">
        <v>321</v>
      </c>
      <c r="G3" s="3">
        <v>0.37013888888888902</v>
      </c>
      <c r="H3" s="3">
        <v>0.33333333333333298</v>
      </c>
      <c r="I3" s="3">
        <f>MAX(H3-IF(R3="",0,R3),0)</f>
        <v>0.33333333333333298</v>
      </c>
      <c r="J3" s="3">
        <f>IF(G3&gt;I3,G3-I3,0)</f>
        <v>3.6805555555556035E-2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322</v>
      </c>
      <c r="F6" s="2" t="s">
        <v>276</v>
      </c>
      <c r="G6" s="3">
        <v>0.39305555555555599</v>
      </c>
      <c r="H6" s="3">
        <v>0.375</v>
      </c>
      <c r="I6" s="3">
        <f t="shared" ref="I6:I11" si="0">MAX(H6-IF(R6="",0,R6),0)</f>
        <v>0.375</v>
      </c>
      <c r="J6" s="3">
        <f>IF(G6&gt;I6,G6-I6,0)</f>
        <v>1.8055555555555991E-2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51</v>
      </c>
      <c r="F7" s="2" t="s">
        <v>308</v>
      </c>
      <c r="G7" s="3">
        <v>0.38611111111111102</v>
      </c>
      <c r="H7" s="3">
        <v>0.375</v>
      </c>
      <c r="I7" s="3">
        <f t="shared" si="0"/>
        <v>0.375</v>
      </c>
      <c r="J7" s="3">
        <f>IF(G7&gt;I7,G7-I7,0)</f>
        <v>1.1111111111111016E-2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76</v>
      </c>
      <c r="F8" s="2" t="s">
        <v>309</v>
      </c>
      <c r="G8" s="3">
        <v>0.38888888888888901</v>
      </c>
      <c r="H8" s="3">
        <v>0.375</v>
      </c>
      <c r="I8" s="3">
        <f t="shared" si="0"/>
        <v>0.375</v>
      </c>
      <c r="J8" s="3">
        <f>IF(G8&gt;I8,G8-I8,0)</f>
        <v>1.3888888888889006E-2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205</v>
      </c>
      <c r="F9" s="2" t="s">
        <v>234</v>
      </c>
      <c r="G9" s="3">
        <v>0.35208333333333303</v>
      </c>
      <c r="H9" s="3">
        <v>0.375</v>
      </c>
      <c r="I9" s="3">
        <f t="shared" si="0"/>
        <v>0.375</v>
      </c>
      <c r="J9" s="3">
        <f>IF(G9&gt;I9,G9-I9,0)</f>
        <v>0</v>
      </c>
      <c r="K9" s="3">
        <f>IF(I9&gt;G9,I9-G9,0)</f>
        <v>2.2916666666666974E-2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51</v>
      </c>
      <c r="F10" s="2" t="s">
        <v>323</v>
      </c>
      <c r="G10" s="3">
        <v>0.296527777777778</v>
      </c>
      <c r="H10" s="3">
        <v>0.33333333333333298</v>
      </c>
      <c r="I10" s="3">
        <f t="shared" si="0"/>
        <v>0.26388888888888851</v>
      </c>
      <c r="J10" s="3">
        <f>IF(G10&gt;I10,G10-I10,0)</f>
        <v>3.2638888888889495E-2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3">
        <v>6.9444444444444503E-2</v>
      </c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51</v>
      </c>
      <c r="F13" s="2" t="s">
        <v>280</v>
      </c>
      <c r="G13" s="3">
        <v>0.40347222222222201</v>
      </c>
      <c r="H13" s="3">
        <v>0.375</v>
      </c>
      <c r="I13" s="3">
        <f t="shared" ref="I13:I18" si="1">MAX(H13-IF(R13="",0,R13),0)</f>
        <v>0.375</v>
      </c>
      <c r="J13" s="3">
        <f>IF(G13&gt;I13,G13-I13,0)</f>
        <v>2.847222222222201E-2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131</v>
      </c>
      <c r="F14" s="2" t="s">
        <v>292</v>
      </c>
      <c r="G14" s="3">
        <v>0.36319444444444399</v>
      </c>
      <c r="H14" s="3">
        <v>0.375</v>
      </c>
      <c r="I14" s="3">
        <f t="shared" si="1"/>
        <v>0.35416666666666669</v>
      </c>
      <c r="J14" s="3">
        <f>IF(G14&gt;I14,G14-I14,0)</f>
        <v>9.0277777777773016E-3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3">
        <v>2.0833333333333301E-2</v>
      </c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51</v>
      </c>
      <c r="F15" s="2" t="s">
        <v>313</v>
      </c>
      <c r="G15" s="3">
        <v>0.39861111111111103</v>
      </c>
      <c r="H15" s="3">
        <v>0.375</v>
      </c>
      <c r="I15" s="3">
        <f t="shared" si="1"/>
        <v>0.375</v>
      </c>
      <c r="J15" s="3">
        <f>IF(G15&gt;I15,G15-I15,0)</f>
        <v>2.3611111111111027E-2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324</v>
      </c>
      <c r="F16" s="2" t="s">
        <v>325</v>
      </c>
      <c r="G16" s="3">
        <v>0.36944444444444502</v>
      </c>
      <c r="H16" s="3">
        <v>0.375</v>
      </c>
      <c r="I16" s="3">
        <f t="shared" si="1"/>
        <v>0.375</v>
      </c>
      <c r="J16" s="3">
        <f>IF(G16&gt;I16,G16-I16,0)</f>
        <v>0</v>
      </c>
      <c r="K16" s="3">
        <f>IF(I16&gt;G16,I16-G16,0)</f>
        <v>5.5555555555549807E-3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96</v>
      </c>
      <c r="F17" s="2" t="s">
        <v>44</v>
      </c>
      <c r="G17" s="3">
        <v>0.38333333333333303</v>
      </c>
      <c r="H17" s="3">
        <v>0.33333333333333298</v>
      </c>
      <c r="I17" s="3">
        <f t="shared" si="1"/>
        <v>0.33333333333333298</v>
      </c>
      <c r="J17" s="3">
        <f>IF(G17&gt;I17,G17-I17,0)</f>
        <v>5.0000000000000044E-2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322</v>
      </c>
      <c r="F20" s="2" t="s">
        <v>44</v>
      </c>
      <c r="G20" s="3">
        <v>0.391666666666667</v>
      </c>
      <c r="H20" s="3">
        <v>0.375</v>
      </c>
      <c r="I20" s="3">
        <f t="shared" ref="I20:I25" si="2">MAX(H20-IF(R20="",0,R20),0)</f>
        <v>0.375</v>
      </c>
      <c r="J20" s="3">
        <f>IF(G20&gt;I20,G20-I20,0)</f>
        <v>1.6666666666666996E-2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324</v>
      </c>
      <c r="F21" s="2" t="s">
        <v>326</v>
      </c>
      <c r="G21" s="3">
        <v>0.30555555555555602</v>
      </c>
      <c r="H21" s="3">
        <v>0.375</v>
      </c>
      <c r="I21" s="3">
        <f t="shared" si="2"/>
        <v>0.2986111111111111</v>
      </c>
      <c r="J21" s="3">
        <f>IF(G21&gt;I21,G21-I21,0)</f>
        <v>6.9444444444449194E-3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3">
        <v>7.6388888888888895E-2</v>
      </c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320</v>
      </c>
      <c r="F22" s="2" t="s">
        <v>234</v>
      </c>
      <c r="G22" s="3">
        <v>0.34375</v>
      </c>
      <c r="H22" s="3">
        <v>0.375</v>
      </c>
      <c r="I22" s="3">
        <f t="shared" si="2"/>
        <v>0.2951388888888889</v>
      </c>
      <c r="J22" s="3">
        <f>IF(G22&gt;I22,G22-I22,0)</f>
        <v>4.8611111111111105E-2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3">
        <v>7.9861111111111105E-2</v>
      </c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322</v>
      </c>
      <c r="F23" s="2" t="s">
        <v>327</v>
      </c>
      <c r="G23" s="3">
        <v>0.27152777777777798</v>
      </c>
      <c r="H23" s="3">
        <v>0.375</v>
      </c>
      <c r="I23" s="3">
        <f t="shared" si="2"/>
        <v>0.27152777777777803</v>
      </c>
      <c r="J23" s="3">
        <f>IF(G23&gt;I23,G23-I23,0)</f>
        <v>0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3">
        <v>0.10347222222222199</v>
      </c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187</v>
      </c>
      <c r="F24" s="2" t="s">
        <v>328</v>
      </c>
      <c r="G24" s="3">
        <v>0.34652777777777799</v>
      </c>
      <c r="H24" s="3">
        <v>0.33333333333333298</v>
      </c>
      <c r="I24" s="3">
        <f t="shared" si="2"/>
        <v>0.33333333333333298</v>
      </c>
      <c r="J24" s="3">
        <f>IF(G24&gt;I24,G24-I24,0)</f>
        <v>1.3194444444445008E-2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320</v>
      </c>
      <c r="F27" s="2" t="s">
        <v>64</v>
      </c>
      <c r="G27" s="3">
        <v>0.39930555555555602</v>
      </c>
      <c r="H27" s="3">
        <v>0.375</v>
      </c>
      <c r="I27" s="3">
        <f t="shared" ref="I27:I32" si="3">MAX(H27-IF(R27="",0,R27),0)</f>
        <v>0.375</v>
      </c>
      <c r="J27" s="3">
        <f>IF(G27&gt;I27,G27-I27,0)</f>
        <v>2.4305555555556024E-2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329</v>
      </c>
      <c r="F28" s="2" t="s">
        <v>64</v>
      </c>
      <c r="G28" s="3">
        <v>0.38680555555555601</v>
      </c>
      <c r="H28" s="3">
        <v>0.375</v>
      </c>
      <c r="I28" s="3">
        <f t="shared" si="3"/>
        <v>0.375</v>
      </c>
      <c r="J28" s="3">
        <f>IF(G28&gt;I28,G28-I28,0)</f>
        <v>1.1805555555556013E-2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330</v>
      </c>
      <c r="F29" s="2" t="s">
        <v>331</v>
      </c>
      <c r="G29" s="3">
        <v>0.30763888888888902</v>
      </c>
      <c r="H29" s="3">
        <v>0.375</v>
      </c>
      <c r="I29" s="3">
        <f t="shared" si="3"/>
        <v>0.26874999999999999</v>
      </c>
      <c r="J29" s="3">
        <f>IF(G29&gt;I29,G29-I29,0)</f>
        <v>3.8888888888889028E-2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3">
        <v>0.10625</v>
      </c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332</v>
      </c>
      <c r="F30" s="2" t="s">
        <v>276</v>
      </c>
      <c r="G30" s="3">
        <v>0.36180555555555599</v>
      </c>
      <c r="H30" s="3">
        <v>0.375</v>
      </c>
      <c r="I30" s="3">
        <f t="shared" si="3"/>
        <v>0.375</v>
      </c>
      <c r="J30" s="3">
        <f>IF(G30&gt;I30,G30-I30,0)</f>
        <v>0</v>
      </c>
      <c r="K30" s="3">
        <f>IF(I30&gt;G30,I30-G30,0)</f>
        <v>1.3194444444444009E-2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329</v>
      </c>
      <c r="F31" s="2" t="s">
        <v>333</v>
      </c>
      <c r="G31" s="3">
        <v>0.30833333333333302</v>
      </c>
      <c r="H31" s="3">
        <v>0.33333333333333298</v>
      </c>
      <c r="I31" s="3">
        <f t="shared" si="3"/>
        <v>0.2916666666666663</v>
      </c>
      <c r="J31" s="3">
        <f>IF(G31&gt;I31,G31-I31,0)</f>
        <v>1.6666666666666718E-2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3">
        <v>4.1666666666666699E-2</v>
      </c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42</v>
      </c>
      <c r="E34" s="8"/>
      <c r="F34" s="8"/>
      <c r="G34" s="9">
        <f t="shared" ref="G34:N34" si="4">SUM(G3:G33)</f>
        <v>7.5277777777777812</v>
      </c>
      <c r="H34" s="9">
        <f t="shared" si="4"/>
        <v>7.6666666666666652</v>
      </c>
      <c r="I34" s="9">
        <f t="shared" si="4"/>
        <v>7.1687499999999984</v>
      </c>
      <c r="J34" s="9">
        <f t="shared" si="4"/>
        <v>0.40069444444444774</v>
      </c>
      <c r="K34" s="9">
        <f t="shared" si="4"/>
        <v>4.1666666666665964E-2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0.49791666666666645</v>
      </c>
      <c r="S34" s="8">
        <f>SUM(S3:S33)</f>
        <v>0</v>
      </c>
    </row>
    <row r="36" spans="1:19" ht="15.75" x14ac:dyDescent="0.25">
      <c r="H36" s="10">
        <f>IF(J34&gt;=K34, J34-K34, 0)</f>
        <v>0.35902777777778178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0"/>
  <sheetViews>
    <sheetView rightToLeft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H36" sqref="H36:I36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334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335</v>
      </c>
      <c r="F3" s="2" t="s">
        <v>282</v>
      </c>
      <c r="G3" s="3">
        <v>0.49305555555555602</v>
      </c>
      <c r="H3" s="3">
        <v>0.33333333333333298</v>
      </c>
      <c r="I3" s="3">
        <f>MAX(H3-IF(R3="",0,R3),0)</f>
        <v>0.33333333333333298</v>
      </c>
      <c r="J3" s="3">
        <f>IF(G3&gt;I3,G3-I3,0)</f>
        <v>0.15972222222222304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>
        <v>2</v>
      </c>
      <c r="E4" s="4" t="s">
        <v>169</v>
      </c>
      <c r="F4" s="4" t="s">
        <v>336</v>
      </c>
      <c r="G4" s="5">
        <v>0.33055555555555599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0.33055555555555599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337</v>
      </c>
      <c r="F6" s="2" t="s">
        <v>276</v>
      </c>
      <c r="G6" s="3">
        <v>0.49444444444444502</v>
      </c>
      <c r="H6" s="3">
        <v>0.375</v>
      </c>
      <c r="I6" s="3">
        <f t="shared" ref="I6:I11" si="0">MAX(H6-IF(R6="",0,R6),0)</f>
        <v>0.375</v>
      </c>
      <c r="J6" s="3">
        <f>IF(G6&gt;I6,G6-I6,0)</f>
        <v>0.11944444444444502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338</v>
      </c>
      <c r="F7" s="2" t="s">
        <v>227</v>
      </c>
      <c r="G7" s="3">
        <v>0.50277777777777799</v>
      </c>
      <c r="H7" s="3">
        <v>0.375</v>
      </c>
      <c r="I7" s="3">
        <f t="shared" si="0"/>
        <v>0.375</v>
      </c>
      <c r="J7" s="3">
        <f>IF(G7&gt;I7,G7-I7,0)</f>
        <v>0.12777777777777799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339</v>
      </c>
      <c r="F8" s="2" t="s">
        <v>340</v>
      </c>
      <c r="G8" s="3">
        <v>0.49236111111111103</v>
      </c>
      <c r="H8" s="3">
        <v>0.375</v>
      </c>
      <c r="I8" s="3">
        <f t="shared" si="0"/>
        <v>0.375</v>
      </c>
      <c r="J8" s="3">
        <f>IF(G8&gt;I8,G8-I8,0)</f>
        <v>0.11736111111111103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339</v>
      </c>
      <c r="F9" s="2" t="s">
        <v>341</v>
      </c>
      <c r="G9" s="3">
        <v>0.48888888888888898</v>
      </c>
      <c r="H9" s="3">
        <v>0.375</v>
      </c>
      <c r="I9" s="3">
        <f t="shared" si="0"/>
        <v>0.375</v>
      </c>
      <c r="J9" s="3">
        <f>IF(G9&gt;I9,G9-I9,0)</f>
        <v>0.11388888888888898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342</v>
      </c>
      <c r="F10" s="2" t="s">
        <v>222</v>
      </c>
      <c r="G10" s="3">
        <v>0.48749999999999999</v>
      </c>
      <c r="H10" s="3">
        <v>0.33333333333333298</v>
      </c>
      <c r="I10" s="3">
        <f t="shared" si="0"/>
        <v>0.33333333333333298</v>
      </c>
      <c r="J10" s="3">
        <f>IF(G10&gt;I10,G10-I10,0)</f>
        <v>0.15416666666666701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>
        <v>2</v>
      </c>
      <c r="E11" s="4" t="s">
        <v>169</v>
      </c>
      <c r="F11" s="4" t="s">
        <v>343</v>
      </c>
      <c r="G11" s="5">
        <v>0.30972222222222201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0.30972222222222201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>
        <v>2</v>
      </c>
      <c r="E13" s="2" t="s">
        <v>339</v>
      </c>
      <c r="F13" s="2" t="s">
        <v>44</v>
      </c>
      <c r="G13" s="3">
        <v>0.49444444444444502</v>
      </c>
      <c r="H13" s="3">
        <v>0.375</v>
      </c>
      <c r="I13" s="3">
        <f t="shared" ref="I13:I18" si="1">MAX(H13-IF(R13="",0,R13),0)</f>
        <v>0.375</v>
      </c>
      <c r="J13" s="3">
        <f>IF(G13&gt;I13,G13-I13,0)</f>
        <v>0.11944444444444502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/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344</v>
      </c>
      <c r="F14" s="2" t="s">
        <v>228</v>
      </c>
      <c r="G14" s="3">
        <v>0.49444444444444502</v>
      </c>
      <c r="H14" s="3">
        <v>0.375</v>
      </c>
      <c r="I14" s="3">
        <f t="shared" si="1"/>
        <v>0.375</v>
      </c>
      <c r="J14" s="3">
        <f>IF(G14&gt;I14,G14-I14,0)</f>
        <v>0.11944444444444502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290</v>
      </c>
      <c r="F15" s="2" t="s">
        <v>80</v>
      </c>
      <c r="G15" s="3">
        <v>0.49375000000000002</v>
      </c>
      <c r="H15" s="3">
        <v>0.375</v>
      </c>
      <c r="I15" s="3">
        <f t="shared" si="1"/>
        <v>0.375</v>
      </c>
      <c r="J15" s="3">
        <f>IF(G15&gt;I15,G15-I15,0)</f>
        <v>0.11875000000000002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345</v>
      </c>
      <c r="F16" s="2" t="s">
        <v>44</v>
      </c>
      <c r="G16" s="3">
        <v>0.49791666666666701</v>
      </c>
      <c r="H16" s="3">
        <v>0.375</v>
      </c>
      <c r="I16" s="3">
        <f t="shared" si="1"/>
        <v>0.375</v>
      </c>
      <c r="J16" s="3">
        <f>IF(G16&gt;I16,G16-I16,0)</f>
        <v>0.12291666666666701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344</v>
      </c>
      <c r="F17" s="2" t="s">
        <v>276</v>
      </c>
      <c r="G17" s="3">
        <v>0.49513888888888902</v>
      </c>
      <c r="H17" s="3">
        <v>0.33333333333333298</v>
      </c>
      <c r="I17" s="3">
        <f t="shared" si="1"/>
        <v>0.33333333333333298</v>
      </c>
      <c r="J17" s="3">
        <f>IF(G17&gt;I17,G17-I17,0)</f>
        <v>0.16180555555555604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344</v>
      </c>
      <c r="F20" s="2" t="s">
        <v>279</v>
      </c>
      <c r="G20" s="3">
        <v>0.49305555555555602</v>
      </c>
      <c r="H20" s="3">
        <v>0.375</v>
      </c>
      <c r="I20" s="3">
        <f t="shared" ref="I20:I25" si="2">MAX(H20-IF(R20="",0,R20),0)</f>
        <v>0.375</v>
      </c>
      <c r="J20" s="3">
        <f>IF(G20&gt;I20,G20-I20,0)</f>
        <v>0.11805555555555602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339</v>
      </c>
      <c r="F21" s="2" t="s">
        <v>340</v>
      </c>
      <c r="G21" s="3">
        <v>0.49236111111111103</v>
      </c>
      <c r="H21" s="3">
        <v>0.375</v>
      </c>
      <c r="I21" s="3">
        <f t="shared" si="2"/>
        <v>0.375</v>
      </c>
      <c r="J21" s="3">
        <f>IF(G21&gt;I21,G21-I21,0)</f>
        <v>0.11736111111111103</v>
      </c>
      <c r="K21" s="3">
        <f>IF(I21&gt;G21,I21-G21,0)</f>
        <v>0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335</v>
      </c>
      <c r="F22" s="2" t="s">
        <v>318</v>
      </c>
      <c r="G22" s="3">
        <v>0.50277777777777799</v>
      </c>
      <c r="H22" s="3">
        <v>0.375</v>
      </c>
      <c r="I22" s="3">
        <f t="shared" si="2"/>
        <v>0.375</v>
      </c>
      <c r="J22" s="3">
        <f>IF(G22&gt;I22,G22-I22,0)</f>
        <v>0.12777777777777799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335</v>
      </c>
      <c r="F23" s="2" t="s">
        <v>346</v>
      </c>
      <c r="G23" s="3">
        <v>0.47291666666666698</v>
      </c>
      <c r="H23" s="3">
        <v>0.375</v>
      </c>
      <c r="I23" s="3">
        <f t="shared" si="2"/>
        <v>0.375</v>
      </c>
      <c r="J23" s="3">
        <f>IF(G23&gt;I23,G23-I23,0)</f>
        <v>9.7916666666666985E-2</v>
      </c>
      <c r="K23" s="3">
        <f>IF(I23&gt;G23,I23-G23,0)</f>
        <v>0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347</v>
      </c>
      <c r="F24" s="2" t="s">
        <v>341</v>
      </c>
      <c r="G24" s="3">
        <v>0.48680555555555599</v>
      </c>
      <c r="H24" s="3">
        <v>0.33333333333333298</v>
      </c>
      <c r="I24" s="3">
        <f t="shared" si="2"/>
        <v>0.33333333333333298</v>
      </c>
      <c r="J24" s="3">
        <f>IF(G24&gt;I24,G24-I24,0)</f>
        <v>0.15347222222222301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>
        <v>2</v>
      </c>
      <c r="E25" s="4" t="s">
        <v>348</v>
      </c>
      <c r="F25" s="4" t="s">
        <v>349</v>
      </c>
      <c r="G25" s="5">
        <v>0.33402777777777798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0.33402777777777798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347</v>
      </c>
      <c r="F27" s="2" t="s">
        <v>44</v>
      </c>
      <c r="G27" s="3">
        <v>0.49236111111111103</v>
      </c>
      <c r="H27" s="3">
        <v>0.375</v>
      </c>
      <c r="I27" s="3">
        <f t="shared" ref="I27:I32" si="3">MAX(H27-IF(R27="",0,R27),0)</f>
        <v>0.375</v>
      </c>
      <c r="J27" s="3">
        <f>IF(G27&gt;I27,G27-I27,0)</f>
        <v>0.11736111111111103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2"/>
      <c r="S27" s="2"/>
    </row>
    <row r="28" spans="1:19" x14ac:dyDescent="0.25">
      <c r="A28" s="2"/>
      <c r="B28" s="2" t="s">
        <v>34</v>
      </c>
      <c r="C28" s="2" t="s">
        <v>86</v>
      </c>
      <c r="D28" s="2">
        <v>2</v>
      </c>
      <c r="E28" s="2" t="s">
        <v>344</v>
      </c>
      <c r="F28" s="2" t="s">
        <v>309</v>
      </c>
      <c r="G28" s="3">
        <v>0.49652777777777801</v>
      </c>
      <c r="H28" s="3">
        <v>0.375</v>
      </c>
      <c r="I28" s="3">
        <f t="shared" si="3"/>
        <v>0.375</v>
      </c>
      <c r="J28" s="3">
        <f>IF(G28&gt;I28,G28-I28,0)</f>
        <v>0.12152777777777801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/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350</v>
      </c>
      <c r="F29" s="2" t="s">
        <v>313</v>
      </c>
      <c r="G29" s="3">
        <v>0.49236111111111103</v>
      </c>
      <c r="H29" s="3">
        <v>0.375</v>
      </c>
      <c r="I29" s="3">
        <f t="shared" si="3"/>
        <v>0.375</v>
      </c>
      <c r="J29" s="3">
        <f>IF(G29&gt;I29,G29-I29,0)</f>
        <v>0.11736111111111103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339</v>
      </c>
      <c r="F30" s="2" t="s">
        <v>282</v>
      </c>
      <c r="G30" s="3">
        <v>0.49166666666666697</v>
      </c>
      <c r="H30" s="3">
        <v>0.375</v>
      </c>
      <c r="I30" s="3">
        <f t="shared" si="3"/>
        <v>0.375</v>
      </c>
      <c r="J30" s="3">
        <f>IF(G30&gt;I30,G30-I30,0)</f>
        <v>0.11666666666666697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347</v>
      </c>
      <c r="F31" s="2" t="s">
        <v>341</v>
      </c>
      <c r="G31" s="3">
        <v>0.48680555555555599</v>
      </c>
      <c r="H31" s="3">
        <v>0.33333333333333298</v>
      </c>
      <c r="I31" s="3">
        <f t="shared" si="3"/>
        <v>0.33333333333333298</v>
      </c>
      <c r="J31" s="3">
        <f>IF(G31&gt;I31,G31-I31,0)</f>
        <v>0.15347222222222301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48</v>
      </c>
      <c r="E34" s="8"/>
      <c r="F34" s="8"/>
      <c r="G34" s="9">
        <f t="shared" ref="G34:N34" si="4">SUM(G3:G33)</f>
        <v>11.31666666666667</v>
      </c>
      <c r="H34" s="9">
        <f t="shared" si="4"/>
        <v>7.6666666666666652</v>
      </c>
      <c r="I34" s="9">
        <f t="shared" si="4"/>
        <v>7.6666666666666652</v>
      </c>
      <c r="J34" s="9">
        <f t="shared" si="4"/>
        <v>2.6756944444444515</v>
      </c>
      <c r="K34" s="9">
        <f t="shared" si="4"/>
        <v>0</v>
      </c>
      <c r="L34" s="9">
        <f t="shared" si="4"/>
        <v>0</v>
      </c>
      <c r="M34" s="9">
        <f t="shared" si="4"/>
        <v>0.97430555555555598</v>
      </c>
      <c r="N34" s="9">
        <f t="shared" si="4"/>
        <v>0</v>
      </c>
      <c r="O34" s="8"/>
      <c r="P34" s="8"/>
      <c r="Q34" s="8">
        <f>SUM(Q3:Q33)</f>
        <v>0</v>
      </c>
      <c r="R34" s="9">
        <f>SUM(R3:R33)</f>
        <v>0</v>
      </c>
      <c r="S34" s="8">
        <f>SUM(S3:S33)</f>
        <v>0</v>
      </c>
    </row>
    <row r="36" spans="1:19" ht="15.75" x14ac:dyDescent="0.25">
      <c r="H36" s="10">
        <f>IF(J34&gt;=K34, J34-K34, 0)</f>
        <v>2.6756944444444515</v>
      </c>
      <c r="I36" s="11" t="s">
        <v>103</v>
      </c>
    </row>
    <row r="37" spans="1:19" ht="15.75" x14ac:dyDescent="0.25">
      <c r="H37" s="10">
        <f>IF(K34&lt;=J34, M34, IF(K34&lt;=J34+M34, J34+M34-K34, 0))</f>
        <v>0.97430555555555598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0"/>
  <sheetViews>
    <sheetView rightToLeft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E42" sqref="E42"/>
    </sheetView>
  </sheetViews>
  <sheetFormatPr defaultColWidth="8.7109375" defaultRowHeight="15" x14ac:dyDescent="0.25"/>
  <cols>
    <col min="1" max="1" width="3" customWidth="1"/>
    <col min="2" max="2" width="12" customWidth="1"/>
    <col min="3" max="3" width="14" customWidth="1"/>
    <col min="4" max="4" width="8" customWidth="1"/>
    <col min="5" max="8" width="10" customWidth="1"/>
    <col min="9" max="9" width="18" customWidth="1"/>
    <col min="10" max="12" width="10" customWidth="1"/>
    <col min="13" max="13" width="12" customWidth="1"/>
    <col min="14" max="15" width="10" customWidth="1"/>
    <col min="16" max="16" width="12" customWidth="1"/>
    <col min="17" max="17" width="14" customWidth="1"/>
    <col min="18" max="18" width="12" customWidth="1"/>
    <col min="19" max="19" width="14" customWidth="1"/>
  </cols>
  <sheetData>
    <row r="1" spans="1:19" ht="42" customHeight="1" x14ac:dyDescent="0.25">
      <c r="A1" s="48" t="s">
        <v>351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36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/>
      <c r="B3" s="2" t="s">
        <v>19</v>
      </c>
      <c r="C3" s="2" t="s">
        <v>20</v>
      </c>
      <c r="D3" s="2">
        <v>2</v>
      </c>
      <c r="E3" s="2" t="s">
        <v>352</v>
      </c>
      <c r="F3" s="2" t="s">
        <v>353</v>
      </c>
      <c r="G3" s="3">
        <v>0.41388888888888897</v>
      </c>
      <c r="H3" s="3">
        <v>0.33333333333333298</v>
      </c>
      <c r="I3" s="3">
        <f>MAX(H3-IF(R3="",0,R3),0)</f>
        <v>0.33333333333333298</v>
      </c>
      <c r="J3" s="3">
        <f>IF(G3&gt;I3,G3-I3,0)</f>
        <v>8.0555555555555991E-2</v>
      </c>
      <c r="K3" s="3">
        <f>IF(I3&gt;G3,I3-G3,0)</f>
        <v>0</v>
      </c>
      <c r="L3" s="3">
        <v>0</v>
      </c>
      <c r="M3" s="3">
        <v>0</v>
      </c>
      <c r="N3" s="3">
        <v>0</v>
      </c>
      <c r="O3" s="2" t="s">
        <v>23</v>
      </c>
      <c r="P3" s="2" t="s">
        <v>24</v>
      </c>
      <c r="Q3" s="2"/>
      <c r="R3" s="2"/>
      <c r="S3" s="2"/>
    </row>
    <row r="4" spans="1:19" x14ac:dyDescent="0.25">
      <c r="A4" s="4"/>
      <c r="B4" s="4" t="s">
        <v>25</v>
      </c>
      <c r="C4" s="4" t="s">
        <v>26</v>
      </c>
      <c r="D4" s="4"/>
      <c r="E4" s="4" t="s">
        <v>27</v>
      </c>
      <c r="F4" s="4" t="s">
        <v>27</v>
      </c>
      <c r="G4" s="5">
        <v>0</v>
      </c>
      <c r="H4" s="5">
        <v>0</v>
      </c>
      <c r="I4" s="5">
        <f>MAX(H4-IF(R4="",0,R4),0)</f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 t="s">
        <v>23</v>
      </c>
      <c r="P4" s="4" t="s">
        <v>24</v>
      </c>
      <c r="Q4" s="4"/>
      <c r="R4" s="4"/>
      <c r="S4" s="4"/>
    </row>
    <row r="5" spans="1:19" x14ac:dyDescent="0.25">
      <c r="A5" s="6"/>
      <c r="B5" s="6" t="s">
        <v>28</v>
      </c>
      <c r="C5" s="6" t="s">
        <v>29</v>
      </c>
      <c r="D5" s="6"/>
      <c r="E5" s="6" t="s">
        <v>27</v>
      </c>
      <c r="F5" s="6" t="s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6" t="s">
        <v>23</v>
      </c>
      <c r="P5" s="6" t="s">
        <v>24</v>
      </c>
      <c r="Q5" s="6"/>
      <c r="R5" s="6"/>
      <c r="S5" s="6"/>
    </row>
    <row r="6" spans="1:19" x14ac:dyDescent="0.25">
      <c r="A6" s="2"/>
      <c r="B6" s="2" t="s">
        <v>30</v>
      </c>
      <c r="C6" s="2" t="s">
        <v>31</v>
      </c>
      <c r="D6" s="2">
        <v>2</v>
      </c>
      <c r="E6" s="2" t="s">
        <v>199</v>
      </c>
      <c r="F6" s="2" t="s">
        <v>354</v>
      </c>
      <c r="G6" s="3">
        <v>0.41944444444444501</v>
      </c>
      <c r="H6" s="3">
        <v>0.375</v>
      </c>
      <c r="I6" s="3">
        <f t="shared" ref="I6:I11" si="0">MAX(H6-IF(R6="",0,R6),0)</f>
        <v>0.375</v>
      </c>
      <c r="J6" s="3">
        <f>IF(G6&gt;I6,G6-I6,0)</f>
        <v>4.4444444444445008E-2</v>
      </c>
      <c r="K6" s="3">
        <f>IF(I6&gt;G6,I6-G6,0)</f>
        <v>0</v>
      </c>
      <c r="L6" s="3">
        <v>0</v>
      </c>
      <c r="M6" s="3">
        <v>0</v>
      </c>
      <c r="N6" s="3">
        <v>0</v>
      </c>
      <c r="O6" s="2" t="s">
        <v>23</v>
      </c>
      <c r="P6" s="2" t="s">
        <v>24</v>
      </c>
      <c r="Q6" s="2"/>
      <c r="R6" s="2"/>
      <c r="S6" s="2"/>
    </row>
    <row r="7" spans="1:19" x14ac:dyDescent="0.25">
      <c r="A7" s="2"/>
      <c r="B7" s="2" t="s">
        <v>34</v>
      </c>
      <c r="C7" s="2" t="s">
        <v>35</v>
      </c>
      <c r="D7" s="2">
        <v>2</v>
      </c>
      <c r="E7" s="2" t="s">
        <v>242</v>
      </c>
      <c r="F7" s="2" t="s">
        <v>355</v>
      </c>
      <c r="G7" s="3">
        <v>0.45486111111111099</v>
      </c>
      <c r="H7" s="3">
        <v>0.375</v>
      </c>
      <c r="I7" s="3">
        <f t="shared" si="0"/>
        <v>0.375</v>
      </c>
      <c r="J7" s="3">
        <f>IF(G7&gt;I7,G7-I7,0)</f>
        <v>7.9861111111110994E-2</v>
      </c>
      <c r="K7" s="3">
        <f>IF(I7&gt;G7,I7-G7,0)</f>
        <v>0</v>
      </c>
      <c r="L7" s="3">
        <v>0</v>
      </c>
      <c r="M7" s="3">
        <v>0</v>
      </c>
      <c r="N7" s="3">
        <v>0</v>
      </c>
      <c r="O7" s="2" t="s">
        <v>23</v>
      </c>
      <c r="P7" s="2" t="s">
        <v>24</v>
      </c>
      <c r="Q7" s="2"/>
      <c r="R7" s="2"/>
      <c r="S7" s="2"/>
    </row>
    <row r="8" spans="1:19" x14ac:dyDescent="0.25">
      <c r="A8" s="2"/>
      <c r="B8" s="2" t="s">
        <v>38</v>
      </c>
      <c r="C8" s="2" t="s">
        <v>39</v>
      </c>
      <c r="D8" s="2">
        <v>2</v>
      </c>
      <c r="E8" s="2" t="s">
        <v>219</v>
      </c>
      <c r="F8" s="2" t="s">
        <v>44</v>
      </c>
      <c r="G8" s="3">
        <v>0.41180555555555598</v>
      </c>
      <c r="H8" s="3">
        <v>0.375</v>
      </c>
      <c r="I8" s="3">
        <f t="shared" si="0"/>
        <v>0.375</v>
      </c>
      <c r="J8" s="3">
        <f>IF(G8&gt;I8,G8-I8,0)</f>
        <v>3.680555555555598E-2</v>
      </c>
      <c r="K8" s="3">
        <f>IF(I8&gt;G8,I8-G8,0)</f>
        <v>0</v>
      </c>
      <c r="L8" s="3">
        <v>0</v>
      </c>
      <c r="M8" s="3">
        <v>0</v>
      </c>
      <c r="N8" s="3">
        <v>0</v>
      </c>
      <c r="O8" s="2" t="s">
        <v>23</v>
      </c>
      <c r="P8" s="2" t="s">
        <v>24</v>
      </c>
      <c r="Q8" s="2"/>
      <c r="R8" s="2"/>
      <c r="S8" s="2"/>
    </row>
    <row r="9" spans="1:19" x14ac:dyDescent="0.25">
      <c r="A9" s="2"/>
      <c r="B9" s="2" t="s">
        <v>41</v>
      </c>
      <c r="C9" s="2" t="s">
        <v>42</v>
      </c>
      <c r="D9" s="2">
        <v>2</v>
      </c>
      <c r="E9" s="2" t="s">
        <v>356</v>
      </c>
      <c r="F9" s="2" t="s">
        <v>315</v>
      </c>
      <c r="G9" s="3">
        <v>0.42847222222222198</v>
      </c>
      <c r="H9" s="3">
        <v>0.375</v>
      </c>
      <c r="I9" s="3">
        <f t="shared" si="0"/>
        <v>0.375</v>
      </c>
      <c r="J9" s="3">
        <f>IF(G9&gt;I9,G9-I9,0)</f>
        <v>5.3472222222221977E-2</v>
      </c>
      <c r="K9" s="3">
        <f>IF(I9&gt;G9,I9-G9,0)</f>
        <v>0</v>
      </c>
      <c r="L9" s="3">
        <v>0</v>
      </c>
      <c r="M9" s="3">
        <v>0</v>
      </c>
      <c r="N9" s="3">
        <v>0</v>
      </c>
      <c r="O9" s="2" t="s">
        <v>23</v>
      </c>
      <c r="P9" s="2" t="s">
        <v>24</v>
      </c>
      <c r="Q9" s="2"/>
      <c r="R9" s="2"/>
      <c r="S9" s="2"/>
    </row>
    <row r="10" spans="1:19" x14ac:dyDescent="0.25">
      <c r="A10" s="2"/>
      <c r="B10" s="2" t="s">
        <v>19</v>
      </c>
      <c r="C10" s="2" t="s">
        <v>45</v>
      </c>
      <c r="D10" s="2">
        <v>2</v>
      </c>
      <c r="E10" s="2" t="s">
        <v>191</v>
      </c>
      <c r="F10" s="2" t="s">
        <v>354</v>
      </c>
      <c r="G10" s="3">
        <v>0.41041666666666698</v>
      </c>
      <c r="H10" s="3">
        <v>0.33333333333333298</v>
      </c>
      <c r="I10" s="3">
        <f t="shared" si="0"/>
        <v>0.33333333333333298</v>
      </c>
      <c r="J10" s="3">
        <f>IF(G10&gt;I10,G10-I10,0)</f>
        <v>7.7083333333334003E-2</v>
      </c>
      <c r="K10" s="3">
        <f>IF(I10&gt;G10,I10-G10,0)</f>
        <v>0</v>
      </c>
      <c r="L10" s="3">
        <v>0</v>
      </c>
      <c r="M10" s="3">
        <v>0</v>
      </c>
      <c r="N10" s="3">
        <v>0</v>
      </c>
      <c r="O10" s="2" t="s">
        <v>23</v>
      </c>
      <c r="P10" s="2" t="s">
        <v>24</v>
      </c>
      <c r="Q10" s="2"/>
      <c r="R10" s="2"/>
      <c r="S10" s="2"/>
    </row>
    <row r="11" spans="1:19" x14ac:dyDescent="0.25">
      <c r="A11" s="4"/>
      <c r="B11" s="4" t="s">
        <v>25</v>
      </c>
      <c r="C11" s="4" t="s">
        <v>48</v>
      </c>
      <c r="D11" s="4"/>
      <c r="E11" s="4" t="s">
        <v>27</v>
      </c>
      <c r="F11" s="4" t="s">
        <v>27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23</v>
      </c>
      <c r="P11" s="4" t="s">
        <v>24</v>
      </c>
      <c r="Q11" s="4"/>
      <c r="R11" s="4"/>
      <c r="S11" s="4"/>
    </row>
    <row r="12" spans="1:19" x14ac:dyDescent="0.25">
      <c r="A12" s="6"/>
      <c r="B12" s="6" t="s">
        <v>28</v>
      </c>
      <c r="C12" s="6" t="s">
        <v>49</v>
      </c>
      <c r="D12" s="6"/>
      <c r="E12" s="6" t="s">
        <v>27</v>
      </c>
      <c r="F12" s="6" t="s">
        <v>27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6" t="s">
        <v>23</v>
      </c>
      <c r="P12" s="6" t="s">
        <v>24</v>
      </c>
      <c r="Q12" s="6"/>
      <c r="R12" s="6"/>
      <c r="S12" s="6"/>
    </row>
    <row r="13" spans="1:19" x14ac:dyDescent="0.25">
      <c r="A13" s="2"/>
      <c r="B13" s="2" t="s">
        <v>30</v>
      </c>
      <c r="C13" s="2" t="s">
        <v>50</v>
      </c>
      <c r="D13" s="2"/>
      <c r="E13" s="2" t="s">
        <v>27</v>
      </c>
      <c r="F13" s="2" t="s">
        <v>27</v>
      </c>
      <c r="G13" s="3">
        <v>0</v>
      </c>
      <c r="H13" s="3">
        <v>0.375</v>
      </c>
      <c r="I13" s="3">
        <v>0</v>
      </c>
      <c r="J13" s="3">
        <f>IF(G13&gt;I13,G13-I13,0)</f>
        <v>0</v>
      </c>
      <c r="K13" s="3">
        <f>IF(I13&gt;G13,I13-G13,0)</f>
        <v>0</v>
      </c>
      <c r="L13" s="3">
        <v>0</v>
      </c>
      <c r="M13" s="3">
        <v>0</v>
      </c>
      <c r="N13" s="3">
        <v>0</v>
      </c>
      <c r="O13" s="2" t="s">
        <v>23</v>
      </c>
      <c r="P13" s="2" t="s">
        <v>24</v>
      </c>
      <c r="Q13" s="2">
        <v>1</v>
      </c>
      <c r="R13" s="2"/>
      <c r="S13" s="2"/>
    </row>
    <row r="14" spans="1:19" x14ac:dyDescent="0.25">
      <c r="A14" s="2"/>
      <c r="B14" s="2" t="s">
        <v>34</v>
      </c>
      <c r="C14" s="2" t="s">
        <v>53</v>
      </c>
      <c r="D14" s="2">
        <v>2</v>
      </c>
      <c r="E14" s="2" t="s">
        <v>300</v>
      </c>
      <c r="F14" s="2" t="s">
        <v>229</v>
      </c>
      <c r="G14" s="3">
        <v>0.40972222222222199</v>
      </c>
      <c r="H14" s="3">
        <v>0.375</v>
      </c>
      <c r="I14" s="3">
        <f t="shared" ref="I14:I18" si="1">MAX(H14-IF(R14="",0,R14),0)</f>
        <v>0.375</v>
      </c>
      <c r="J14" s="3">
        <f>IF(G14&gt;I14,G14-I14,0)</f>
        <v>3.4722222222221988E-2</v>
      </c>
      <c r="K14" s="3">
        <f>IF(I14&gt;G14,I14-G14,0)</f>
        <v>0</v>
      </c>
      <c r="L14" s="3">
        <v>0</v>
      </c>
      <c r="M14" s="3">
        <v>0</v>
      </c>
      <c r="N14" s="3">
        <v>0</v>
      </c>
      <c r="O14" s="2" t="s">
        <v>23</v>
      </c>
      <c r="P14" s="2" t="s">
        <v>24</v>
      </c>
      <c r="Q14" s="2"/>
      <c r="R14" s="2"/>
      <c r="S14" s="2"/>
    </row>
    <row r="15" spans="1:19" x14ac:dyDescent="0.25">
      <c r="A15" s="2"/>
      <c r="B15" s="2" t="s">
        <v>38</v>
      </c>
      <c r="C15" s="2" t="s">
        <v>56</v>
      </c>
      <c r="D15" s="2">
        <v>2</v>
      </c>
      <c r="E15" s="2" t="s">
        <v>356</v>
      </c>
      <c r="F15" s="2" t="s">
        <v>47</v>
      </c>
      <c r="G15" s="3">
        <v>0.40833333333333299</v>
      </c>
      <c r="H15" s="3">
        <v>0.375</v>
      </c>
      <c r="I15" s="3">
        <f t="shared" si="1"/>
        <v>0.375</v>
      </c>
      <c r="J15" s="3">
        <f>IF(G15&gt;I15,G15-I15,0)</f>
        <v>3.3333333333332993E-2</v>
      </c>
      <c r="K15" s="3">
        <f>IF(I15&gt;G15,I15-G15,0)</f>
        <v>0</v>
      </c>
      <c r="L15" s="3">
        <v>0</v>
      </c>
      <c r="M15" s="3">
        <v>0</v>
      </c>
      <c r="N15" s="3">
        <v>0</v>
      </c>
      <c r="O15" s="2" t="s">
        <v>23</v>
      </c>
      <c r="P15" s="2" t="s">
        <v>24</v>
      </c>
      <c r="Q15" s="2"/>
      <c r="R15" s="2"/>
      <c r="S15" s="2"/>
    </row>
    <row r="16" spans="1:19" x14ac:dyDescent="0.25">
      <c r="A16" s="2"/>
      <c r="B16" s="2" t="s">
        <v>41</v>
      </c>
      <c r="C16" s="2" t="s">
        <v>59</v>
      </c>
      <c r="D16" s="2">
        <v>2</v>
      </c>
      <c r="E16" s="2" t="s">
        <v>191</v>
      </c>
      <c r="F16" s="2" t="s">
        <v>357</v>
      </c>
      <c r="G16" s="3">
        <v>0.37777777777777799</v>
      </c>
      <c r="H16" s="3">
        <v>0.375</v>
      </c>
      <c r="I16" s="3">
        <f t="shared" si="1"/>
        <v>0.375</v>
      </c>
      <c r="J16" s="3">
        <f>IF(G16&gt;I16,G16-I16,0)</f>
        <v>2.77777777777799E-3</v>
      </c>
      <c r="K16" s="3">
        <f>IF(I16&gt;G16,I16-G16,0)</f>
        <v>0</v>
      </c>
      <c r="L16" s="3">
        <v>0</v>
      </c>
      <c r="M16" s="3">
        <v>0</v>
      </c>
      <c r="N16" s="3">
        <v>0</v>
      </c>
      <c r="O16" s="2" t="s">
        <v>23</v>
      </c>
      <c r="P16" s="2" t="s">
        <v>24</v>
      </c>
      <c r="Q16" s="2"/>
      <c r="R16" s="2"/>
      <c r="S16" s="2"/>
    </row>
    <row r="17" spans="1:19" x14ac:dyDescent="0.25">
      <c r="A17" s="2"/>
      <c r="B17" s="2" t="s">
        <v>19</v>
      </c>
      <c r="C17" s="2" t="s">
        <v>62</v>
      </c>
      <c r="D17" s="2">
        <v>2</v>
      </c>
      <c r="E17" s="2" t="s">
        <v>57</v>
      </c>
      <c r="F17" s="2" t="s">
        <v>358</v>
      </c>
      <c r="G17" s="3">
        <v>0.389583333333333</v>
      </c>
      <c r="H17" s="3">
        <v>0.33333333333333298</v>
      </c>
      <c r="I17" s="3">
        <f t="shared" si="1"/>
        <v>0.33333333333333298</v>
      </c>
      <c r="J17" s="3">
        <f>IF(G17&gt;I17,G17-I17,0)</f>
        <v>5.6250000000000022E-2</v>
      </c>
      <c r="K17" s="3">
        <f>IF(I17&gt;G17,I17-G17,0)</f>
        <v>0</v>
      </c>
      <c r="L17" s="3">
        <v>0</v>
      </c>
      <c r="M17" s="3">
        <v>0</v>
      </c>
      <c r="N17" s="3">
        <v>0</v>
      </c>
      <c r="O17" s="2" t="s">
        <v>23</v>
      </c>
      <c r="P17" s="2" t="s">
        <v>24</v>
      </c>
      <c r="Q17" s="2"/>
      <c r="R17" s="2"/>
      <c r="S17" s="2"/>
    </row>
    <row r="18" spans="1:19" x14ac:dyDescent="0.25">
      <c r="A18" s="4"/>
      <c r="B18" s="4" t="s">
        <v>25</v>
      </c>
      <c r="C18" s="4" t="s">
        <v>65</v>
      </c>
      <c r="D18" s="4"/>
      <c r="E18" s="4" t="s">
        <v>27</v>
      </c>
      <c r="F18" s="4" t="s">
        <v>27</v>
      </c>
      <c r="G18" s="5">
        <v>0</v>
      </c>
      <c r="H18" s="5">
        <v>0</v>
      </c>
      <c r="I18" s="5">
        <f t="shared" si="1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23</v>
      </c>
      <c r="P18" s="4" t="s">
        <v>24</v>
      </c>
      <c r="Q18" s="4"/>
      <c r="R18" s="4"/>
      <c r="S18" s="4"/>
    </row>
    <row r="19" spans="1:19" x14ac:dyDescent="0.25">
      <c r="A19" s="6"/>
      <c r="B19" s="6" t="s">
        <v>28</v>
      </c>
      <c r="C19" s="6" t="s">
        <v>66</v>
      </c>
      <c r="D19" s="6"/>
      <c r="E19" s="6" t="s">
        <v>27</v>
      </c>
      <c r="F19" s="6" t="s">
        <v>27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6" t="s">
        <v>23</v>
      </c>
      <c r="P19" s="6" t="s">
        <v>24</v>
      </c>
      <c r="Q19" s="6"/>
      <c r="R19" s="6"/>
      <c r="S19" s="6"/>
    </row>
    <row r="20" spans="1:19" x14ac:dyDescent="0.25">
      <c r="A20" s="2"/>
      <c r="B20" s="2" t="s">
        <v>30</v>
      </c>
      <c r="C20" s="2" t="s">
        <v>67</v>
      </c>
      <c r="D20" s="2">
        <v>2</v>
      </c>
      <c r="E20" s="2" t="s">
        <v>300</v>
      </c>
      <c r="F20" s="2" t="s">
        <v>88</v>
      </c>
      <c r="G20" s="3">
        <v>0.41527777777777802</v>
      </c>
      <c r="H20" s="3">
        <v>0.375</v>
      </c>
      <c r="I20" s="3">
        <f t="shared" ref="I20:I25" si="2">MAX(H20-IF(R20="",0,R20),0)</f>
        <v>0.375</v>
      </c>
      <c r="J20" s="3">
        <f>IF(G20&gt;I20,G20-I20,0)</f>
        <v>4.0277777777778023E-2</v>
      </c>
      <c r="K20" s="3">
        <f>IF(I20&gt;G20,I20-G20,0)</f>
        <v>0</v>
      </c>
      <c r="L20" s="3">
        <v>0</v>
      </c>
      <c r="M20" s="3">
        <v>0</v>
      </c>
      <c r="N20" s="3">
        <v>0</v>
      </c>
      <c r="O20" s="2" t="s">
        <v>23</v>
      </c>
      <c r="P20" s="2" t="s">
        <v>24</v>
      </c>
      <c r="Q20" s="2"/>
      <c r="R20" s="2"/>
      <c r="S20" s="2"/>
    </row>
    <row r="21" spans="1:19" x14ac:dyDescent="0.25">
      <c r="A21" s="2"/>
      <c r="B21" s="2" t="s">
        <v>34</v>
      </c>
      <c r="C21" s="2" t="s">
        <v>70</v>
      </c>
      <c r="D21" s="2">
        <v>2</v>
      </c>
      <c r="E21" s="2" t="s">
        <v>191</v>
      </c>
      <c r="F21" s="2" t="s">
        <v>359</v>
      </c>
      <c r="G21" s="3">
        <v>0.34652777777777799</v>
      </c>
      <c r="H21" s="3">
        <v>0.375</v>
      </c>
      <c r="I21" s="3">
        <f t="shared" si="2"/>
        <v>0.375</v>
      </c>
      <c r="J21" s="3">
        <f>IF(G21&gt;I21,G21-I21,0)</f>
        <v>0</v>
      </c>
      <c r="K21" s="3">
        <f>IF(I21&gt;G21,I21-G21,0)</f>
        <v>2.847222222222201E-2</v>
      </c>
      <c r="L21" s="3">
        <v>0</v>
      </c>
      <c r="M21" s="3">
        <v>0</v>
      </c>
      <c r="N21" s="3">
        <v>0</v>
      </c>
      <c r="O21" s="2" t="s">
        <v>23</v>
      </c>
      <c r="P21" s="2" t="s">
        <v>24</v>
      </c>
      <c r="Q21" s="2"/>
      <c r="R21" s="2"/>
      <c r="S21" s="2"/>
    </row>
    <row r="22" spans="1:19" x14ac:dyDescent="0.25">
      <c r="A22" s="2"/>
      <c r="B22" s="2" t="s">
        <v>38</v>
      </c>
      <c r="C22" s="2" t="s">
        <v>72</v>
      </c>
      <c r="D22" s="2">
        <v>2</v>
      </c>
      <c r="E22" s="2" t="s">
        <v>108</v>
      </c>
      <c r="F22" s="2" t="s">
        <v>360</v>
      </c>
      <c r="G22" s="3">
        <v>0.39930555555555602</v>
      </c>
      <c r="H22" s="3">
        <v>0.375</v>
      </c>
      <c r="I22" s="3">
        <f t="shared" si="2"/>
        <v>0.375</v>
      </c>
      <c r="J22" s="3">
        <f>IF(G22&gt;I22,G22-I22,0)</f>
        <v>2.4305555555556024E-2</v>
      </c>
      <c r="K22" s="3">
        <f>IF(I22&gt;G22,I22-G22,0)</f>
        <v>0</v>
      </c>
      <c r="L22" s="3">
        <v>0</v>
      </c>
      <c r="M22" s="3">
        <v>0</v>
      </c>
      <c r="N22" s="3">
        <v>0</v>
      </c>
      <c r="O22" s="2" t="s">
        <v>23</v>
      </c>
      <c r="P22" s="2" t="s">
        <v>24</v>
      </c>
      <c r="Q22" s="2"/>
      <c r="R22" s="2"/>
      <c r="S22" s="2"/>
    </row>
    <row r="23" spans="1:19" x14ac:dyDescent="0.25">
      <c r="A23" s="2"/>
      <c r="B23" s="2" t="s">
        <v>41</v>
      </c>
      <c r="C23" s="2" t="s">
        <v>75</v>
      </c>
      <c r="D23" s="2">
        <v>2</v>
      </c>
      <c r="E23" s="2" t="s">
        <v>189</v>
      </c>
      <c r="F23" s="2" t="s">
        <v>361</v>
      </c>
      <c r="G23" s="3">
        <v>0.34027777777777801</v>
      </c>
      <c r="H23" s="3">
        <v>0.375</v>
      </c>
      <c r="I23" s="3">
        <f t="shared" si="2"/>
        <v>0.375</v>
      </c>
      <c r="J23" s="3">
        <f>IF(G23&gt;I23,G23-I23,0)</f>
        <v>0</v>
      </c>
      <c r="K23" s="3">
        <f>IF(I23&gt;G23,I23-G23,0)</f>
        <v>3.4722222222221988E-2</v>
      </c>
      <c r="L23" s="3">
        <v>0</v>
      </c>
      <c r="M23" s="3">
        <v>0</v>
      </c>
      <c r="N23" s="3">
        <v>0</v>
      </c>
      <c r="O23" s="2" t="s">
        <v>23</v>
      </c>
      <c r="P23" s="2" t="s">
        <v>24</v>
      </c>
      <c r="Q23" s="2"/>
      <c r="R23" s="2"/>
      <c r="S23" s="2"/>
    </row>
    <row r="24" spans="1:19" x14ac:dyDescent="0.25">
      <c r="A24" s="2"/>
      <c r="B24" s="2" t="s">
        <v>19</v>
      </c>
      <c r="C24" s="2" t="s">
        <v>78</v>
      </c>
      <c r="D24" s="2">
        <v>2</v>
      </c>
      <c r="E24" s="2" t="s">
        <v>362</v>
      </c>
      <c r="F24" s="2" t="s">
        <v>363</v>
      </c>
      <c r="G24" s="3">
        <v>0.41041666666666698</v>
      </c>
      <c r="H24" s="3">
        <v>0.33333333333333298</v>
      </c>
      <c r="I24" s="3">
        <f t="shared" si="2"/>
        <v>0.33333333333333298</v>
      </c>
      <c r="J24" s="3">
        <f>IF(G24&gt;I24,G24-I24,0)</f>
        <v>7.7083333333334003E-2</v>
      </c>
      <c r="K24" s="3">
        <f>IF(I24&gt;G24,I24-G24,0)</f>
        <v>0</v>
      </c>
      <c r="L24" s="3">
        <v>0</v>
      </c>
      <c r="M24" s="3">
        <v>0</v>
      </c>
      <c r="N24" s="3">
        <v>0</v>
      </c>
      <c r="O24" s="2" t="s">
        <v>23</v>
      </c>
      <c r="P24" s="2" t="s">
        <v>24</v>
      </c>
      <c r="Q24" s="2"/>
      <c r="R24" s="2"/>
      <c r="S24" s="2"/>
    </row>
    <row r="25" spans="1:19" x14ac:dyDescent="0.25">
      <c r="A25" s="4"/>
      <c r="B25" s="4" t="s">
        <v>25</v>
      </c>
      <c r="C25" s="4" t="s">
        <v>81</v>
      </c>
      <c r="D25" s="4"/>
      <c r="E25" s="4" t="s">
        <v>27</v>
      </c>
      <c r="F25" s="4" t="s">
        <v>27</v>
      </c>
      <c r="G25" s="5">
        <v>0</v>
      </c>
      <c r="H25" s="5">
        <v>0</v>
      </c>
      <c r="I25" s="5">
        <f t="shared" si="2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 t="s">
        <v>23</v>
      </c>
      <c r="P25" s="4" t="s">
        <v>24</v>
      </c>
      <c r="Q25" s="4"/>
      <c r="R25" s="4"/>
      <c r="S25" s="4"/>
    </row>
    <row r="26" spans="1:19" x14ac:dyDescent="0.25">
      <c r="A26" s="6"/>
      <c r="B26" s="6" t="s">
        <v>28</v>
      </c>
      <c r="C26" s="6" t="s">
        <v>82</v>
      </c>
      <c r="D26" s="6"/>
      <c r="E26" s="6" t="s">
        <v>27</v>
      </c>
      <c r="F26" s="6" t="s">
        <v>27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6" t="s">
        <v>23</v>
      </c>
      <c r="P26" s="6" t="s">
        <v>24</v>
      </c>
      <c r="Q26" s="6"/>
      <c r="R26" s="6"/>
      <c r="S26" s="6"/>
    </row>
    <row r="27" spans="1:19" x14ac:dyDescent="0.25">
      <c r="A27" s="2"/>
      <c r="B27" s="2" t="s">
        <v>30</v>
      </c>
      <c r="C27" s="2" t="s">
        <v>83</v>
      </c>
      <c r="D27" s="2">
        <v>2</v>
      </c>
      <c r="E27" s="2" t="s">
        <v>364</v>
      </c>
      <c r="F27" s="2" t="s">
        <v>365</v>
      </c>
      <c r="G27" s="3">
        <v>0.21666666666666701</v>
      </c>
      <c r="H27" s="3">
        <v>0.375</v>
      </c>
      <c r="I27" s="3">
        <f t="shared" ref="I27:I32" si="3">MAX(H27-IF(R27="",0,R27),0)</f>
        <v>0.21666666666666701</v>
      </c>
      <c r="J27" s="3">
        <f>IF(G27&gt;I27,G27-I27,0)</f>
        <v>0</v>
      </c>
      <c r="K27" s="3">
        <f>IF(I27&gt;G27,I27-G27,0)</f>
        <v>0</v>
      </c>
      <c r="L27" s="3">
        <v>0</v>
      </c>
      <c r="M27" s="3">
        <v>0</v>
      </c>
      <c r="N27" s="3">
        <v>0</v>
      </c>
      <c r="O27" s="2" t="s">
        <v>23</v>
      </c>
      <c r="P27" s="2" t="s">
        <v>24</v>
      </c>
      <c r="Q27" s="2"/>
      <c r="R27" s="3">
        <v>0.15833333333333299</v>
      </c>
      <c r="S27" s="2"/>
    </row>
    <row r="28" spans="1:19" x14ac:dyDescent="0.25">
      <c r="A28" s="2"/>
      <c r="B28" s="2" t="s">
        <v>34</v>
      </c>
      <c r="C28" s="2" t="s">
        <v>86</v>
      </c>
      <c r="D28" s="2"/>
      <c r="E28" s="2" t="s">
        <v>27</v>
      </c>
      <c r="F28" s="2" t="s">
        <v>27</v>
      </c>
      <c r="G28" s="3">
        <v>0</v>
      </c>
      <c r="H28" s="3">
        <v>0.375</v>
      </c>
      <c r="I28" s="3">
        <v>0</v>
      </c>
      <c r="J28" s="3">
        <f>IF(G28&gt;I28,G28-I28,0)</f>
        <v>0</v>
      </c>
      <c r="K28" s="3">
        <f>IF(I28&gt;G28,I28-G28,0)</f>
        <v>0</v>
      </c>
      <c r="L28" s="3">
        <v>0</v>
      </c>
      <c r="M28" s="3">
        <v>0</v>
      </c>
      <c r="N28" s="3">
        <v>0</v>
      </c>
      <c r="O28" s="2" t="s">
        <v>23</v>
      </c>
      <c r="P28" s="2" t="s">
        <v>24</v>
      </c>
      <c r="Q28" s="2"/>
      <c r="R28" s="2"/>
      <c r="S28" s="2">
        <v>1</v>
      </c>
    </row>
    <row r="29" spans="1:19" x14ac:dyDescent="0.25">
      <c r="A29" s="2"/>
      <c r="B29" s="2" t="s">
        <v>38</v>
      </c>
      <c r="C29" s="2" t="s">
        <v>89</v>
      </c>
      <c r="D29" s="2">
        <v>2</v>
      </c>
      <c r="E29" s="2" t="s">
        <v>362</v>
      </c>
      <c r="F29" s="2" t="s">
        <v>74</v>
      </c>
      <c r="G29" s="3">
        <v>0.44236111111111098</v>
      </c>
      <c r="H29" s="3">
        <v>0.375</v>
      </c>
      <c r="I29" s="3">
        <f t="shared" si="3"/>
        <v>0.375</v>
      </c>
      <c r="J29" s="3">
        <f>IF(G29&gt;I29,G29-I29,0)</f>
        <v>6.7361111111110983E-2</v>
      </c>
      <c r="K29" s="3">
        <f>IF(I29&gt;G29,I29-G29,0)</f>
        <v>0</v>
      </c>
      <c r="L29" s="3">
        <v>0</v>
      </c>
      <c r="M29" s="3">
        <v>0</v>
      </c>
      <c r="N29" s="3">
        <v>0</v>
      </c>
      <c r="O29" s="2" t="s">
        <v>23</v>
      </c>
      <c r="P29" s="2" t="s">
        <v>24</v>
      </c>
      <c r="Q29" s="2"/>
      <c r="R29" s="2"/>
      <c r="S29" s="2"/>
    </row>
    <row r="30" spans="1:19" x14ac:dyDescent="0.25">
      <c r="A30" s="2"/>
      <c r="B30" s="2" t="s">
        <v>41</v>
      </c>
      <c r="C30" s="2" t="s">
        <v>92</v>
      </c>
      <c r="D30" s="2">
        <v>2</v>
      </c>
      <c r="E30" s="2" t="s">
        <v>57</v>
      </c>
      <c r="F30" s="2" t="s">
        <v>355</v>
      </c>
      <c r="G30" s="3">
        <v>0.43125000000000002</v>
      </c>
      <c r="H30" s="3">
        <v>0.375</v>
      </c>
      <c r="I30" s="3">
        <f t="shared" si="3"/>
        <v>0.375</v>
      </c>
      <c r="J30" s="3">
        <f>IF(G30&gt;I30,G30-I30,0)</f>
        <v>5.6250000000000022E-2</v>
      </c>
      <c r="K30" s="3">
        <f>IF(I30&gt;G30,I30-G30,0)</f>
        <v>0</v>
      </c>
      <c r="L30" s="3">
        <v>0</v>
      </c>
      <c r="M30" s="3">
        <v>0</v>
      </c>
      <c r="N30" s="3">
        <v>0</v>
      </c>
      <c r="O30" s="2" t="s">
        <v>23</v>
      </c>
      <c r="P30" s="2" t="s">
        <v>24</v>
      </c>
      <c r="Q30" s="2"/>
      <c r="R30" s="2"/>
      <c r="S30" s="2"/>
    </row>
    <row r="31" spans="1:19" x14ac:dyDescent="0.25">
      <c r="A31" s="2"/>
      <c r="B31" s="2" t="s">
        <v>19</v>
      </c>
      <c r="C31" s="2" t="s">
        <v>95</v>
      </c>
      <c r="D31" s="2">
        <v>2</v>
      </c>
      <c r="E31" s="2" t="s">
        <v>36</v>
      </c>
      <c r="F31" s="2" t="s">
        <v>340</v>
      </c>
      <c r="G31" s="3">
        <v>0.4375</v>
      </c>
      <c r="H31" s="3">
        <v>0.33333333333333298</v>
      </c>
      <c r="I31" s="3">
        <f t="shared" si="3"/>
        <v>0.33333333333333298</v>
      </c>
      <c r="J31" s="3">
        <f>IF(G31&gt;I31,G31-I31,0)</f>
        <v>0.10416666666666702</v>
      </c>
      <c r="K31" s="3">
        <f>IF(I31&gt;G31,I31-G31,0)</f>
        <v>0</v>
      </c>
      <c r="L31" s="3">
        <v>0</v>
      </c>
      <c r="M31" s="3">
        <v>0</v>
      </c>
      <c r="N31" s="3">
        <v>0</v>
      </c>
      <c r="O31" s="2" t="s">
        <v>23</v>
      </c>
      <c r="P31" s="2" t="s">
        <v>24</v>
      </c>
      <c r="Q31" s="2"/>
      <c r="R31" s="2"/>
      <c r="S31" s="2"/>
    </row>
    <row r="32" spans="1:19" x14ac:dyDescent="0.25">
      <c r="A32" s="4"/>
      <c r="B32" s="4" t="s">
        <v>25</v>
      </c>
      <c r="C32" s="4" t="s">
        <v>98</v>
      </c>
      <c r="D32" s="4"/>
      <c r="E32" s="4" t="s">
        <v>27</v>
      </c>
      <c r="F32" s="4" t="s">
        <v>27</v>
      </c>
      <c r="G32" s="5">
        <v>0</v>
      </c>
      <c r="H32" s="5">
        <v>0</v>
      </c>
      <c r="I32" s="5">
        <f t="shared" si="3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 t="s">
        <v>23</v>
      </c>
      <c r="P32" s="4" t="s">
        <v>24</v>
      </c>
      <c r="Q32" s="4"/>
      <c r="R32" s="4"/>
      <c r="S32" s="4"/>
    </row>
    <row r="33" spans="1:19" x14ac:dyDescent="0.25">
      <c r="A33" s="6"/>
      <c r="B33" s="6" t="s">
        <v>28</v>
      </c>
      <c r="C33" s="6" t="s">
        <v>101</v>
      </c>
      <c r="D33" s="6"/>
      <c r="E33" s="6" t="s">
        <v>27</v>
      </c>
      <c r="F33" s="6" t="s">
        <v>27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 t="s">
        <v>23</v>
      </c>
      <c r="P33" s="6" t="s">
        <v>24</v>
      </c>
      <c r="Q33" s="6"/>
      <c r="R33" s="6"/>
      <c r="S33" s="6"/>
    </row>
    <row r="34" spans="1:19" ht="15.75" x14ac:dyDescent="0.25">
      <c r="A34" s="8"/>
      <c r="B34" s="8" t="s">
        <v>102</v>
      </c>
      <c r="C34" s="8"/>
      <c r="D34" s="8">
        <f>SUM(D3:D33)</f>
        <v>38</v>
      </c>
      <c r="E34" s="8"/>
      <c r="F34" s="8"/>
      <c r="G34" s="9">
        <f t="shared" ref="G34:N34" si="4">SUM(G3:G33)</f>
        <v>7.5638888888888918</v>
      </c>
      <c r="H34" s="9">
        <f t="shared" si="4"/>
        <v>7.6666666666666652</v>
      </c>
      <c r="I34" s="9">
        <f t="shared" si="4"/>
        <v>6.758333333333332</v>
      </c>
      <c r="J34" s="9">
        <f t="shared" si="4"/>
        <v>0.86875000000000302</v>
      </c>
      <c r="K34" s="9">
        <f t="shared" si="4"/>
        <v>6.3194444444443998E-2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8"/>
      <c r="P34" s="8"/>
      <c r="Q34" s="8">
        <f>SUM(Q3:Q33)</f>
        <v>1</v>
      </c>
      <c r="R34" s="9">
        <f>SUM(R3:R33)</f>
        <v>0.15833333333333299</v>
      </c>
      <c r="S34" s="8">
        <f>SUM(S3:S33)</f>
        <v>1</v>
      </c>
    </row>
    <row r="36" spans="1:19" ht="15.75" x14ac:dyDescent="0.25">
      <c r="H36" s="10">
        <f>IF(J34&gt;=K34, J34-K34, 0)</f>
        <v>0.80555555555555902</v>
      </c>
      <c r="I36" s="11" t="s">
        <v>103</v>
      </c>
    </row>
    <row r="37" spans="1:19" ht="15.75" x14ac:dyDescent="0.25">
      <c r="H37" s="10">
        <f>IF(K34&lt;=J34, M34, IF(K34&lt;=J34+M34, J34+M34-K34, 0))</f>
        <v>0</v>
      </c>
      <c r="I37" s="11" t="s">
        <v>104</v>
      </c>
    </row>
    <row r="38" spans="1:19" ht="15.75" x14ac:dyDescent="0.25">
      <c r="H38" s="10">
        <f>L34</f>
        <v>0</v>
      </c>
      <c r="I38" s="11" t="s">
        <v>11</v>
      </c>
    </row>
    <row r="39" spans="1:19" ht="15.75" x14ac:dyDescent="0.25">
      <c r="H39" s="10">
        <f>N34</f>
        <v>0</v>
      </c>
      <c r="I39" s="11" t="s">
        <v>105</v>
      </c>
    </row>
    <row r="40" spans="1:19" ht="15.75" x14ac:dyDescent="0.25">
      <c r="H40" s="10">
        <f>IF(K34&gt;J34+M34, K34-J34-M34, 0)</f>
        <v>0</v>
      </c>
      <c r="I40" s="33" t="s">
        <v>398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2"/>
  <sheetViews>
    <sheetView rightToLeft="1" tabSelected="1" zoomScaleNormal="100" workbookViewId="0">
      <selection activeCell="E22" sqref="E22"/>
    </sheetView>
  </sheetViews>
  <sheetFormatPr defaultColWidth="8.7109375" defaultRowHeight="15" x14ac:dyDescent="0.25"/>
  <cols>
    <col min="1" max="1" width="6" customWidth="1"/>
    <col min="2" max="2" width="22" customWidth="1"/>
    <col min="3" max="5" width="14" customWidth="1"/>
    <col min="6" max="7" width="12" customWidth="1"/>
    <col min="8" max="9" width="14" customWidth="1"/>
    <col min="10" max="10" width="16" customWidth="1"/>
    <col min="11" max="11" width="14" customWidth="1"/>
  </cols>
  <sheetData>
    <row r="1" spans="1:11" x14ac:dyDescent="0.25">
      <c r="A1" s="18"/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x14ac:dyDescent="0.25">
      <c r="A2" s="21"/>
      <c r="K2" s="22"/>
    </row>
    <row r="3" spans="1:11" ht="45" customHeight="1" x14ac:dyDescent="0.25">
      <c r="A3" s="47" t="s">
        <v>366</v>
      </c>
      <c r="B3" s="48"/>
      <c r="C3" s="48"/>
      <c r="D3" s="48"/>
      <c r="E3" s="48"/>
      <c r="F3" s="48"/>
      <c r="G3" s="48"/>
      <c r="H3" s="48"/>
      <c r="I3" s="48"/>
      <c r="J3" s="48"/>
      <c r="K3" s="49"/>
    </row>
    <row r="4" spans="1:11" x14ac:dyDescent="0.25">
      <c r="A4" s="21"/>
      <c r="K4" s="22"/>
    </row>
    <row r="5" spans="1:11" ht="34.5" customHeight="1" x14ac:dyDescent="0.25">
      <c r="A5" s="23" t="s">
        <v>367</v>
      </c>
      <c r="B5" s="12" t="s">
        <v>368</v>
      </c>
      <c r="C5" s="12" t="s">
        <v>369</v>
      </c>
      <c r="D5" s="12" t="s">
        <v>370</v>
      </c>
      <c r="E5" s="12" t="s">
        <v>12</v>
      </c>
      <c r="F5" s="12" t="s">
        <v>11</v>
      </c>
      <c r="G5" s="12" t="s">
        <v>105</v>
      </c>
      <c r="H5" s="12" t="s">
        <v>371</v>
      </c>
      <c r="I5" s="12" t="s">
        <v>17</v>
      </c>
      <c r="J5" s="12" t="s">
        <v>18</v>
      </c>
      <c r="K5" s="34" t="s">
        <v>398</v>
      </c>
    </row>
    <row r="6" spans="1:11" ht="15.75" x14ac:dyDescent="0.25">
      <c r="A6" s="24">
        <v>1</v>
      </c>
      <c r="B6" s="13" t="s">
        <v>375</v>
      </c>
      <c r="C6" s="13">
        <v>31</v>
      </c>
      <c r="D6" s="14">
        <f>'محمدسجاد زارع میرک آباد'!H36</f>
        <v>1.2020833333333372</v>
      </c>
      <c r="E6" s="14">
        <f>'محمدسجاد زارع میرک آباد'!H37</f>
        <v>0</v>
      </c>
      <c r="F6" s="14">
        <f>'محمدسجاد زارع میرک آباد'!L34</f>
        <v>0</v>
      </c>
      <c r="G6" s="14">
        <f>'محمدسجاد زارع میرک آباد'!N34</f>
        <v>0</v>
      </c>
      <c r="H6" s="13">
        <f>'محمدسجاد زارع میرک آباد'!Q34</f>
        <v>2</v>
      </c>
      <c r="I6" s="14">
        <f>'محمدسجاد زارع میرک آباد'!R34</f>
        <v>0.25</v>
      </c>
      <c r="J6" s="13">
        <f>'محمدسجاد زارع میرک آباد'!S34</f>
        <v>0</v>
      </c>
      <c r="K6" s="25">
        <f>'محمدسجاد زارع میرک آباد'!H40</f>
        <v>0</v>
      </c>
    </row>
    <row r="7" spans="1:11" ht="15.75" x14ac:dyDescent="0.25">
      <c r="A7" s="24">
        <v>2</v>
      </c>
      <c r="B7" s="13" t="s">
        <v>376</v>
      </c>
      <c r="C7" s="13">
        <v>31</v>
      </c>
      <c r="D7" s="14">
        <v>1.25</v>
      </c>
      <c r="E7" s="14">
        <f>'محمدصابر نیک نام'!H37</f>
        <v>0.16666666666666699</v>
      </c>
      <c r="F7" s="14">
        <f>'محمدصابر نیک نام'!L34</f>
        <v>0</v>
      </c>
      <c r="G7" s="14">
        <f>'محمدصابر نیک نام'!N34</f>
        <v>0</v>
      </c>
      <c r="H7" s="13">
        <f>'محمدصابر نیک نام'!Q34</f>
        <v>0</v>
      </c>
      <c r="I7" s="14">
        <f>'محمدصابر نیک نام'!R34</f>
        <v>0</v>
      </c>
      <c r="J7" s="13">
        <f>'محمدصابر نیک نام'!S34</f>
        <v>0</v>
      </c>
      <c r="K7" s="35">
        <f>'محمدصابر نیک نام'!H40</f>
        <v>0</v>
      </c>
    </row>
    <row r="8" spans="1:11" ht="15.75" x14ac:dyDescent="0.25">
      <c r="A8" s="24">
        <v>3</v>
      </c>
      <c r="B8" s="13" t="s">
        <v>373</v>
      </c>
      <c r="C8" s="13">
        <v>31</v>
      </c>
      <c r="D8" s="14">
        <f>'مهدی چشمه کبودی'!H36</f>
        <v>3.7673611111111129</v>
      </c>
      <c r="E8" s="14">
        <f>'مهدی چشمه کبودی'!H37</f>
        <v>1.600694444444444</v>
      </c>
      <c r="F8" s="14">
        <f>'مهدی چشمه کبودی'!L34</f>
        <v>0.1875</v>
      </c>
      <c r="G8" s="14">
        <f>'مهدی چشمه کبودی'!N34</f>
        <v>0.22916666666666674</v>
      </c>
      <c r="H8" s="13">
        <f>'مهدی چشمه کبودی'!Q34</f>
        <v>5</v>
      </c>
      <c r="I8" s="14">
        <f>'مهدی چشمه کبودی'!R34</f>
        <v>0</v>
      </c>
      <c r="J8" s="13">
        <f>'مهدی چشمه کبودی'!S34</f>
        <v>0</v>
      </c>
      <c r="K8" s="25">
        <f>'مهدی چشمه کبودی'!H40</f>
        <v>0</v>
      </c>
    </row>
    <row r="9" spans="1:11" ht="15.75" x14ac:dyDescent="0.25">
      <c r="A9" s="24">
        <v>4</v>
      </c>
      <c r="B9" s="13" t="s">
        <v>374</v>
      </c>
      <c r="C9" s="13">
        <v>31</v>
      </c>
      <c r="D9" s="14">
        <v>5.134722222222222</v>
      </c>
      <c r="E9" s="14">
        <f>'حمید محمدپور نشرودکل'!H37</f>
        <v>0.48125000000000001</v>
      </c>
      <c r="F9" s="14">
        <f>'حمید محمدپور نشرودکل'!L34</f>
        <v>0</v>
      </c>
      <c r="G9" s="14">
        <v>0</v>
      </c>
      <c r="H9" s="13">
        <f>'حمید محمدپور نشرودکل'!Q34</f>
        <v>1</v>
      </c>
      <c r="I9" s="14">
        <f>'حمید محمدپور نشرودکل'!R34</f>
        <v>0</v>
      </c>
      <c r="J9" s="13">
        <f>'حمید محمدپور نشرودکل'!S34</f>
        <v>0</v>
      </c>
      <c r="K9" s="25">
        <f>'حمید محمدپور نشرودکل'!H40</f>
        <v>0</v>
      </c>
    </row>
    <row r="10" spans="1:11" ht="15.75" x14ac:dyDescent="0.25">
      <c r="A10" s="24">
        <v>5</v>
      </c>
      <c r="B10" s="13" t="s">
        <v>377</v>
      </c>
      <c r="C10" s="13">
        <v>31</v>
      </c>
      <c r="D10" s="14">
        <v>1.25</v>
      </c>
      <c r="E10" s="14">
        <f>'سمیرا نورشرق'!H37</f>
        <v>0</v>
      </c>
      <c r="F10" s="14">
        <f>'سمیرا نورشرق'!L34</f>
        <v>0</v>
      </c>
      <c r="G10" s="14">
        <f>'سمیرا نورشرق'!N34</f>
        <v>0</v>
      </c>
      <c r="H10" s="13">
        <f>'سمیرا نورشرق'!Q34</f>
        <v>0</v>
      </c>
      <c r="I10" s="14">
        <f>'سمیرا نورشرق'!R34</f>
        <v>0.23958333333333331</v>
      </c>
      <c r="J10" s="13">
        <f>'سمیرا نورشرق'!S34</f>
        <v>0</v>
      </c>
      <c r="K10" s="25">
        <f>'سمیرا نورشرق'!H40</f>
        <v>0</v>
      </c>
    </row>
    <row r="11" spans="1:11" ht="15.75" x14ac:dyDescent="0.25">
      <c r="A11" s="24">
        <v>6</v>
      </c>
      <c r="B11" s="13" t="s">
        <v>372</v>
      </c>
      <c r="C11" s="13">
        <v>31</v>
      </c>
      <c r="D11" s="14">
        <v>1.25</v>
      </c>
      <c r="E11" s="14">
        <f>'الهه فاطمی'!H38</f>
        <v>5.2777777777777798E-2</v>
      </c>
      <c r="F11" s="14">
        <f>'الهه فاطمی'!L34</f>
        <v>0</v>
      </c>
      <c r="G11" s="14">
        <f>'الهه فاطمی'!N34</f>
        <v>0.10694444444444444</v>
      </c>
      <c r="H11" s="13">
        <f>'الهه فاطمی'!Q34</f>
        <v>0</v>
      </c>
      <c r="I11" s="14">
        <f>'الهه فاطمی'!R34</f>
        <v>0.27083333333333337</v>
      </c>
      <c r="J11" s="13">
        <f>'الهه فاطمی'!S34</f>
        <v>0</v>
      </c>
      <c r="K11" s="25">
        <f>'الهه فاطمی'!H41</f>
        <v>0</v>
      </c>
    </row>
    <row r="12" spans="1:11" ht="15.75" x14ac:dyDescent="0.25">
      <c r="A12" s="24">
        <v>7</v>
      </c>
      <c r="B12" s="13" t="s">
        <v>378</v>
      </c>
      <c r="C12" s="13">
        <v>31</v>
      </c>
      <c r="D12" s="14">
        <f>'معروف فتحی'!H36</f>
        <v>4.2791666666666686</v>
      </c>
      <c r="E12" s="14">
        <f>'معروف فتحی'!H37</f>
        <v>1.7354166666666675</v>
      </c>
      <c r="F12" s="14">
        <f>'معروف فتحی'!L34</f>
        <v>0</v>
      </c>
      <c r="G12" s="14">
        <f>'معروف فتحی'!N34</f>
        <v>0</v>
      </c>
      <c r="H12" s="13">
        <f>'معروف فتحی'!Q34</f>
        <v>0</v>
      </c>
      <c r="I12" s="14">
        <f>'معروف فتحی'!R34</f>
        <v>0</v>
      </c>
      <c r="J12" s="13">
        <f>'معروف فتحی'!S34</f>
        <v>0</v>
      </c>
      <c r="K12" s="25">
        <f>'معروف فتحی'!H40</f>
        <v>0</v>
      </c>
    </row>
    <row r="13" spans="1:11" ht="15.75" x14ac:dyDescent="0.25">
      <c r="A13" s="24">
        <v>8</v>
      </c>
      <c r="B13" s="13" t="s">
        <v>379</v>
      </c>
      <c r="C13" s="13">
        <v>31</v>
      </c>
      <c r="D13" s="14">
        <f>'حمید سوری'!H36</f>
        <v>3.7243055555555582</v>
      </c>
      <c r="E13" s="14">
        <f>'حمید سوری'!H37</f>
        <v>1.3374999999999999</v>
      </c>
      <c r="F13" s="14">
        <f>'حمید سوری'!L34</f>
        <v>0</v>
      </c>
      <c r="G13" s="14">
        <f>'حمید سوری'!N34</f>
        <v>0.178472222222222</v>
      </c>
      <c r="H13" s="13">
        <f>'حمید سوری'!Q34</f>
        <v>1</v>
      </c>
      <c r="I13" s="14">
        <f>'حمید سوری'!R34</f>
        <v>0</v>
      </c>
      <c r="J13" s="13">
        <f>'حمید سوری'!S34</f>
        <v>0</v>
      </c>
      <c r="K13" s="25">
        <f>'حمید سوری'!H40</f>
        <v>0</v>
      </c>
    </row>
    <row r="14" spans="1:11" ht="15.75" x14ac:dyDescent="0.25">
      <c r="A14" s="24">
        <v>9</v>
      </c>
      <c r="B14" s="13" t="s">
        <v>380</v>
      </c>
      <c r="C14" s="13">
        <v>31</v>
      </c>
      <c r="D14" s="14">
        <f>'محمدحسین پناهی'!H36</f>
        <v>0</v>
      </c>
      <c r="E14" s="14">
        <f>'محمدحسین پناهی'!H37</f>
        <v>0</v>
      </c>
      <c r="F14" s="14">
        <f>'محمدحسین پناهی'!L34</f>
        <v>0</v>
      </c>
      <c r="G14" s="14">
        <f>'محمدحسین پناهی'!N34</f>
        <v>0</v>
      </c>
      <c r="H14" s="13">
        <f>'محمدحسین پناهی'!Q34</f>
        <v>0</v>
      </c>
      <c r="I14" s="14">
        <f>'محمدحسین پناهی'!R34</f>
        <v>0</v>
      </c>
      <c r="J14" s="13">
        <f>'محمدحسین پناهی'!S34</f>
        <v>0</v>
      </c>
      <c r="K14" s="25">
        <f>'محمدحسین پناهی'!H40</f>
        <v>0.12569444444444408</v>
      </c>
    </row>
    <row r="15" spans="1:11" ht="15.75" x14ac:dyDescent="0.25">
      <c r="A15" s="24">
        <v>10</v>
      </c>
      <c r="B15" s="13" t="s">
        <v>381</v>
      </c>
      <c r="C15" s="13">
        <v>31</v>
      </c>
      <c r="D15" s="14">
        <f>'مجید هادوی'!H36</f>
        <v>1.25</v>
      </c>
      <c r="E15" s="14">
        <f>'مجید هادوی'!H37</f>
        <v>0</v>
      </c>
      <c r="F15" s="14">
        <f>'مجید هادوی'!L34</f>
        <v>0</v>
      </c>
      <c r="G15" s="14">
        <f>'مجید هادوی'!N34</f>
        <v>0</v>
      </c>
      <c r="H15" s="13">
        <f>'مجید هادوی'!Q34</f>
        <v>0</v>
      </c>
      <c r="I15" s="14">
        <f>'مجید هادوی'!R34</f>
        <v>0</v>
      </c>
      <c r="J15" s="13">
        <f>'مجید هادوی'!S34</f>
        <v>0</v>
      </c>
      <c r="K15" s="25">
        <f>'مجید هادوی'!H40</f>
        <v>0</v>
      </c>
    </row>
    <row r="16" spans="1:11" ht="15.75" x14ac:dyDescent="0.25">
      <c r="A16" s="24">
        <v>11</v>
      </c>
      <c r="B16" s="13" t="s">
        <v>382</v>
      </c>
      <c r="C16" s="13">
        <v>31</v>
      </c>
      <c r="D16" s="14">
        <f>'مهدی آزانباری'!H36</f>
        <v>3.6798611111111152</v>
      </c>
      <c r="E16" s="14">
        <f>'مهدی آزانباری'!H37</f>
        <v>1.211111111111111</v>
      </c>
      <c r="F16" s="14">
        <f>'مهدی آزانباری'!L34</f>
        <v>0.38541666666666702</v>
      </c>
      <c r="G16" s="14">
        <f>'مهدی آزانباری'!N34</f>
        <v>0</v>
      </c>
      <c r="H16" s="13">
        <f>'مهدی آزانباری'!Q34</f>
        <v>0</v>
      </c>
      <c r="I16" s="14">
        <f>'مهدی آزانباری'!R34</f>
        <v>9.0277777777777804E-2</v>
      </c>
      <c r="J16" s="13">
        <f>'مهدی آزانباری'!S34</f>
        <v>0</v>
      </c>
      <c r="K16" s="25">
        <f>'مهدی آزانباری'!H40</f>
        <v>0</v>
      </c>
    </row>
    <row r="17" spans="1:11" ht="15.75" x14ac:dyDescent="0.25">
      <c r="A17" s="24">
        <v>12</v>
      </c>
      <c r="B17" s="13" t="s">
        <v>383</v>
      </c>
      <c r="C17" s="13">
        <v>31</v>
      </c>
      <c r="D17" s="14">
        <f>'زهرا پاشایی'!H36</f>
        <v>0.35902777777778178</v>
      </c>
      <c r="E17" s="14">
        <f>'زهرا پاشایی'!H37</f>
        <v>0</v>
      </c>
      <c r="F17" s="14">
        <f>'زهرا پاشایی'!L34</f>
        <v>0</v>
      </c>
      <c r="G17" s="14">
        <f>'زهرا پاشایی'!N34</f>
        <v>0</v>
      </c>
      <c r="H17" s="13">
        <f>'زهرا پاشایی'!Q34</f>
        <v>0</v>
      </c>
      <c r="I17" s="14">
        <f>'زهرا پاشایی'!R34</f>
        <v>0.49791666666666645</v>
      </c>
      <c r="J17" s="13">
        <f>'زهرا پاشایی'!S34</f>
        <v>0</v>
      </c>
      <c r="K17" s="25">
        <f>'زهرا پاشایی'!H40</f>
        <v>0</v>
      </c>
    </row>
    <row r="18" spans="1:11" ht="15.75" x14ac:dyDescent="0.25">
      <c r="A18" s="24">
        <v>13</v>
      </c>
      <c r="B18" s="13" t="s">
        <v>384</v>
      </c>
      <c r="C18" s="13">
        <v>31</v>
      </c>
      <c r="D18" s="14">
        <f>'غلامرضا رحیمی'!H36</f>
        <v>2.6756944444444515</v>
      </c>
      <c r="E18" s="14">
        <f>'غلامرضا رحیمی'!H37</f>
        <v>0.97430555555555598</v>
      </c>
      <c r="F18" s="14">
        <f>'غلامرضا رحیمی'!L34</f>
        <v>0</v>
      </c>
      <c r="G18" s="14">
        <f>'غلامرضا رحیمی'!N34</f>
        <v>0</v>
      </c>
      <c r="H18" s="13">
        <f>'غلامرضا رحیمی'!Q34</f>
        <v>0</v>
      </c>
      <c r="I18" s="14">
        <f>'غلامرضا رحیمی'!R34</f>
        <v>0</v>
      </c>
      <c r="J18" s="13">
        <f>'غلامرضا رحیمی'!S34</f>
        <v>0</v>
      </c>
      <c r="K18" s="25">
        <f>'غلامرضا رحیمی'!H40</f>
        <v>0</v>
      </c>
    </row>
    <row r="19" spans="1:11" ht="15.75" x14ac:dyDescent="0.25">
      <c r="A19" s="24">
        <v>14</v>
      </c>
      <c r="B19" s="13" t="s">
        <v>385</v>
      </c>
      <c r="C19" s="13">
        <v>31</v>
      </c>
      <c r="D19" s="14">
        <f>'عاطفه ناجی'!H36</f>
        <v>0.80555555555555902</v>
      </c>
      <c r="E19" s="14">
        <f>'عاطفه ناجی'!H37</f>
        <v>0</v>
      </c>
      <c r="F19" s="14">
        <f>'عاطفه ناجی'!L34</f>
        <v>0</v>
      </c>
      <c r="G19" s="14">
        <f>'عاطفه ناجی'!N34</f>
        <v>0</v>
      </c>
      <c r="H19" s="13">
        <f>'عاطفه ناجی'!Q34</f>
        <v>1</v>
      </c>
      <c r="I19" s="14">
        <f>'عاطفه ناجی'!R34</f>
        <v>0.15833333333333299</v>
      </c>
      <c r="J19" s="13">
        <f>'عاطفه ناجی'!S34</f>
        <v>1</v>
      </c>
      <c r="K19" s="25">
        <f>'عاطفه ناجی'!H40</f>
        <v>0</v>
      </c>
    </row>
    <row r="20" spans="1:11" ht="13.5" customHeight="1" x14ac:dyDescent="0.25">
      <c r="A20" s="21"/>
      <c r="K20" s="22"/>
    </row>
    <row r="21" spans="1:11" ht="13.5" customHeight="1" x14ac:dyDescent="0.25">
      <c r="A21" s="21"/>
      <c r="K21" s="22"/>
    </row>
    <row r="22" spans="1:11" ht="13.5" customHeight="1" x14ac:dyDescent="0.25">
      <c r="A22" s="21"/>
      <c r="K22" s="22"/>
    </row>
    <row r="23" spans="1:11" ht="13.5" customHeight="1" x14ac:dyDescent="0.25">
      <c r="A23" s="21"/>
      <c r="K23" s="22"/>
    </row>
    <row r="24" spans="1:11" ht="13.5" customHeight="1" x14ac:dyDescent="0.25">
      <c r="A24" s="21"/>
      <c r="K24" s="22"/>
    </row>
    <row r="25" spans="1:11" ht="13.5" customHeight="1" x14ac:dyDescent="0.25">
      <c r="A25" s="21"/>
      <c r="K25" s="22"/>
    </row>
    <row r="26" spans="1:11" ht="13.5" customHeight="1" x14ac:dyDescent="0.25">
      <c r="A26" s="21"/>
      <c r="K26" s="22"/>
    </row>
    <row r="27" spans="1:11" ht="13.5" customHeight="1" x14ac:dyDescent="0.25">
      <c r="A27" s="21"/>
      <c r="K27" s="22"/>
    </row>
    <row r="28" spans="1:11" ht="13.5" customHeight="1" x14ac:dyDescent="0.25">
      <c r="A28" s="21"/>
      <c r="K28" s="22"/>
    </row>
    <row r="29" spans="1:11" ht="195" customHeight="1" x14ac:dyDescent="0.25">
      <c r="A29" s="21"/>
      <c r="K29" s="22"/>
    </row>
    <row r="30" spans="1:11" ht="13.5" customHeight="1" x14ac:dyDescent="0.25">
      <c r="A30" s="21"/>
      <c r="K30" s="22"/>
    </row>
    <row r="31" spans="1:11" ht="13.5" customHeight="1" x14ac:dyDescent="0.25">
      <c r="A31" s="21"/>
      <c r="K31" s="22"/>
    </row>
    <row r="32" spans="1:11" ht="13.5" customHeight="1" x14ac:dyDescent="0.25">
      <c r="A32" s="21"/>
      <c r="K32" s="22"/>
    </row>
    <row r="33" spans="1:11" ht="13.5" customHeight="1" x14ac:dyDescent="0.25">
      <c r="A33" s="21"/>
      <c r="K33" s="22"/>
    </row>
    <row r="34" spans="1:11" ht="13.5" customHeight="1" x14ac:dyDescent="0.25">
      <c r="A34" s="21"/>
      <c r="K34" s="22"/>
    </row>
    <row r="35" spans="1:11" ht="13.5" customHeight="1" x14ac:dyDescent="0.25">
      <c r="A35" s="21"/>
      <c r="K35" s="22"/>
    </row>
    <row r="36" spans="1:11" ht="13.5" customHeight="1" x14ac:dyDescent="0.25">
      <c r="A36" s="21"/>
      <c r="K36" s="22"/>
    </row>
    <row r="37" spans="1:11" ht="13.5" customHeight="1" x14ac:dyDescent="0.25">
      <c r="A37" s="21"/>
      <c r="K37" s="22"/>
    </row>
    <row r="38" spans="1:11" ht="13.5" customHeight="1" x14ac:dyDescent="0.25">
      <c r="A38" s="21"/>
      <c r="K38" s="22"/>
    </row>
    <row r="39" spans="1:11" ht="13.5" customHeight="1" x14ac:dyDescent="0.25">
      <c r="A39" s="21"/>
      <c r="K39" s="22"/>
    </row>
    <row r="40" spans="1:11" ht="13.5" customHeight="1" x14ac:dyDescent="0.25">
      <c r="A40" s="21"/>
      <c r="K40" s="22"/>
    </row>
    <row r="41" spans="1:11" ht="13.5" customHeight="1" x14ac:dyDescent="0.25">
      <c r="A41" s="21"/>
      <c r="K41" s="22"/>
    </row>
    <row r="42" spans="1:11" ht="13.5" customHeight="1" x14ac:dyDescent="0.25">
      <c r="A42" s="21"/>
      <c r="K42" s="22"/>
    </row>
    <row r="43" spans="1:11" ht="13.5" customHeight="1" x14ac:dyDescent="0.25">
      <c r="A43" s="21"/>
      <c r="K43" s="22"/>
    </row>
    <row r="44" spans="1:11" ht="13.5" customHeight="1" x14ac:dyDescent="0.25">
      <c r="A44" s="21"/>
      <c r="K44" s="22"/>
    </row>
    <row r="45" spans="1:11" ht="13.5" customHeight="1" x14ac:dyDescent="0.25">
      <c r="A45" s="21"/>
      <c r="K45" s="22"/>
    </row>
    <row r="46" spans="1:11" ht="13.5" customHeight="1" x14ac:dyDescent="0.25">
      <c r="A46" s="21"/>
      <c r="K46" s="22"/>
    </row>
    <row r="47" spans="1:11" x14ac:dyDescent="0.25">
      <c r="A47" s="21"/>
      <c r="K47" s="22"/>
    </row>
    <row r="48" spans="1:11" x14ac:dyDescent="0.25">
      <c r="A48" s="21"/>
      <c r="K48" s="22"/>
    </row>
    <row r="49" spans="1:11" x14ac:dyDescent="0.25">
      <c r="A49" s="21"/>
      <c r="K49" s="22"/>
    </row>
    <row r="50" spans="1:11" x14ac:dyDescent="0.25">
      <c r="A50" s="21"/>
      <c r="K50" s="22"/>
    </row>
    <row r="51" spans="1:11" ht="15.75" x14ac:dyDescent="0.25">
      <c r="A51" s="50" t="s">
        <v>386</v>
      </c>
      <c r="B51" s="51"/>
      <c r="C51" s="51"/>
      <c r="D51" s="51"/>
      <c r="E51" s="51"/>
      <c r="F51" s="51"/>
      <c r="G51" s="51"/>
      <c r="H51" s="51"/>
      <c r="I51" s="51"/>
      <c r="J51" s="51"/>
      <c r="K51" s="52"/>
    </row>
    <row r="52" spans="1:11" x14ac:dyDescent="0.25">
      <c r="A52" s="44" t="s">
        <v>387</v>
      </c>
      <c r="B52" s="45"/>
      <c r="C52" s="45"/>
      <c r="D52" s="45" t="s">
        <v>388</v>
      </c>
      <c r="E52" s="45"/>
      <c r="F52" s="45"/>
      <c r="G52" s="45"/>
      <c r="H52" s="45" t="s">
        <v>389</v>
      </c>
      <c r="I52" s="45"/>
      <c r="J52" s="45"/>
      <c r="K52" s="46"/>
    </row>
    <row r="53" spans="1:11" x14ac:dyDescent="0.25">
      <c r="A53" s="41" t="s">
        <v>390</v>
      </c>
      <c r="B53" s="42"/>
      <c r="C53" s="42"/>
      <c r="D53" s="42" t="s">
        <v>391</v>
      </c>
      <c r="E53" s="42"/>
      <c r="F53" s="42"/>
      <c r="G53" s="42"/>
      <c r="H53" s="42" t="s">
        <v>392</v>
      </c>
      <c r="I53" s="42"/>
      <c r="J53" s="42"/>
      <c r="K53" s="43"/>
    </row>
    <row r="54" spans="1:11" x14ac:dyDescent="0.25">
      <c r="A54" s="44" t="s">
        <v>393</v>
      </c>
      <c r="B54" s="45"/>
      <c r="C54" s="45"/>
      <c r="D54" s="45" t="s">
        <v>394</v>
      </c>
      <c r="E54" s="45"/>
      <c r="F54" s="45"/>
      <c r="G54" s="45"/>
      <c r="H54" s="45" t="s">
        <v>395</v>
      </c>
      <c r="I54" s="45"/>
      <c r="J54" s="45"/>
      <c r="K54" s="46"/>
    </row>
    <row r="55" spans="1:11" x14ac:dyDescent="0.25">
      <c r="A55" s="36" t="s">
        <v>396</v>
      </c>
      <c r="B55" s="37"/>
      <c r="C55" s="38"/>
      <c r="D55" s="39" t="s">
        <v>396</v>
      </c>
      <c r="E55" s="37"/>
      <c r="F55" s="37"/>
      <c r="G55" s="38"/>
      <c r="H55" s="39" t="s">
        <v>396</v>
      </c>
      <c r="I55" s="37"/>
      <c r="J55" s="37"/>
      <c r="K55" s="40"/>
    </row>
    <row r="56" spans="1:11" x14ac:dyDescent="0.25">
      <c r="A56" s="21"/>
      <c r="C56" s="31"/>
      <c r="D56" s="29"/>
      <c r="G56" s="31"/>
      <c r="H56" s="29"/>
      <c r="K56" s="22"/>
    </row>
    <row r="57" spans="1:11" ht="46.5" customHeight="1" x14ac:dyDescent="0.25">
      <c r="A57" s="21"/>
      <c r="C57" s="31"/>
      <c r="D57" s="29"/>
      <c r="G57" s="31"/>
      <c r="H57" s="29"/>
      <c r="K57" s="22"/>
    </row>
    <row r="58" spans="1:11" ht="46.5" customHeight="1" x14ac:dyDescent="0.25">
      <c r="A58" s="21"/>
      <c r="C58" s="31"/>
      <c r="D58" s="29"/>
      <c r="G58" s="31"/>
      <c r="H58" s="29"/>
      <c r="K58" s="22"/>
    </row>
    <row r="59" spans="1:11" x14ac:dyDescent="0.25">
      <c r="A59" s="21"/>
      <c r="C59" s="31"/>
      <c r="D59" s="29"/>
      <c r="G59" s="31"/>
      <c r="H59" s="29"/>
      <c r="K59" s="22"/>
    </row>
    <row r="60" spans="1:11" x14ac:dyDescent="0.25">
      <c r="A60" s="21"/>
      <c r="C60" s="31"/>
      <c r="D60" s="29"/>
      <c r="G60" s="31"/>
      <c r="H60" s="29"/>
      <c r="K60" s="22"/>
    </row>
    <row r="61" spans="1:11" x14ac:dyDescent="0.25">
      <c r="A61" s="21"/>
      <c r="C61" s="31"/>
      <c r="D61" s="29"/>
      <c r="G61" s="31"/>
      <c r="H61" s="29"/>
      <c r="K61" s="22"/>
    </row>
    <row r="62" spans="1:11" ht="15.75" thickBot="1" x14ac:dyDescent="0.3">
      <c r="A62" s="26"/>
      <c r="B62" s="27"/>
      <c r="C62" s="32"/>
      <c r="D62" s="30"/>
      <c r="E62" s="27"/>
      <c r="F62" s="27"/>
      <c r="G62" s="32"/>
      <c r="H62" s="30"/>
      <c r="I62" s="27"/>
      <c r="J62" s="27"/>
      <c r="K62" s="28"/>
    </row>
  </sheetData>
  <mergeCells count="14">
    <mergeCell ref="A3:K3"/>
    <mergeCell ref="A51:K51"/>
    <mergeCell ref="A52:C52"/>
    <mergeCell ref="D52:G52"/>
    <mergeCell ref="H52:K52"/>
    <mergeCell ref="A55:C55"/>
    <mergeCell ref="D55:G55"/>
    <mergeCell ref="H55:K55"/>
    <mergeCell ref="A53:C53"/>
    <mergeCell ref="D53:G53"/>
    <mergeCell ref="H53:K53"/>
    <mergeCell ref="A54:C54"/>
    <mergeCell ref="D54:G54"/>
    <mergeCell ref="H54:K54"/>
  </mergeCells>
  <pageMargins left="0.75" right="0.75" top="1" bottom="1" header="0.511811023622047" footer="0.511811023622047"/>
  <pageSetup paperSize="9" scale="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الهه فاطمی</vt:lpstr>
      <vt:lpstr>مهدی چشمه کبودی</vt:lpstr>
      <vt:lpstr>حمید محمدپور نشرودکل</vt:lpstr>
      <vt:lpstr>محمدسجاد زارع میرک آباد</vt:lpstr>
      <vt:lpstr>محمدصابر نیک نام</vt:lpstr>
      <vt:lpstr>سمیرا نورشرق</vt:lpstr>
      <vt:lpstr>معروف فتحی</vt:lpstr>
      <vt:lpstr>حمید سوری</vt:lpstr>
      <vt:lpstr>محمدحسین پناهی</vt:lpstr>
      <vt:lpstr>مجید هادوی</vt:lpstr>
      <vt:lpstr>مهدی آزانباری</vt:lpstr>
      <vt:lpstr>زهرا پاشایی</vt:lpstr>
      <vt:lpstr>غلامرضا رحیمی</vt:lpstr>
      <vt:lpstr>عاطفه ناجی</vt:lpstr>
      <vt:lpstr>کارکرد کلی1405.2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 city</cp:lastModifiedBy>
  <cp:revision>0</cp:revision>
  <cp:lastPrinted>2026-05-16T13:04:06Z</cp:lastPrinted>
  <dcterms:created xsi:type="dcterms:W3CDTF">2026-05-16T12:16:15Z</dcterms:created>
  <dcterms:modified xsi:type="dcterms:W3CDTF">2026-05-18T09:07:44Z</dcterms:modified>
  <dc:language>en-US</dc:language>
</cp:coreProperties>
</file>