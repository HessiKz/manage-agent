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 city\Downloads\الف\"/>
    </mc:Choice>
  </mc:AlternateContent>
  <xr:revisionPtr revIDLastSave="0" documentId="13_ncr:1_{82CF4A95-1C35-4982-995F-8230CEB06ADE}" xr6:coauthVersionLast="47" xr6:coauthVersionMax="47" xr10:uidLastSave="{00000000-0000-0000-0000-000000000000}"/>
  <bookViews>
    <workbookView xWindow="-120" yWindow="-120" windowWidth="29040" windowHeight="15720" activeTab="1" xr2:uid="{FC023A65-57B4-42A2-B40F-34FC954F34F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2" l="1"/>
  <c r="F8" i="2"/>
  <c r="E8" i="2"/>
  <c r="D8" i="2"/>
  <c r="G35" i="1"/>
  <c r="G37" i="1"/>
  <c r="G36" i="1"/>
  <c r="H32" i="1"/>
  <c r="G32" i="1"/>
  <c r="J30" i="1"/>
  <c r="I30" i="1"/>
  <c r="J29" i="1"/>
  <c r="I29" i="1"/>
  <c r="J28" i="1"/>
  <c r="I28" i="1"/>
  <c r="L27" i="1"/>
  <c r="K27" i="1"/>
  <c r="L26" i="1"/>
  <c r="J25" i="1"/>
  <c r="I25" i="1"/>
  <c r="J24" i="1"/>
  <c r="I24" i="1"/>
  <c r="J23" i="1"/>
  <c r="I23" i="1"/>
  <c r="J22" i="1"/>
  <c r="I22" i="1"/>
  <c r="J21" i="1"/>
  <c r="I21" i="1"/>
  <c r="K20" i="1"/>
  <c r="J20" i="1"/>
  <c r="J17" i="1"/>
  <c r="I17" i="1"/>
  <c r="J16" i="1"/>
  <c r="I16" i="1"/>
  <c r="J15" i="1"/>
  <c r="I15" i="1"/>
  <c r="J14" i="1"/>
  <c r="I14" i="1"/>
  <c r="J11" i="1"/>
  <c r="I11" i="1"/>
  <c r="L8" i="1"/>
  <c r="L7" i="1"/>
  <c r="L5" i="1"/>
  <c r="J4" i="1"/>
  <c r="I4" i="1"/>
  <c r="J3" i="1"/>
  <c r="I3" i="1"/>
  <c r="L32" i="1" l="1"/>
  <c r="I32" i="1"/>
  <c r="G34" i="1" s="1"/>
  <c r="J32" i="1"/>
</calcChain>
</file>

<file path=xl/sharedStrings.xml><?xml version="1.0" encoding="utf-8"?>
<sst xmlns="http://schemas.openxmlformats.org/spreadsheetml/2006/main" count="421" uniqueCount="155">
  <si>
    <t>شرکت توسعه کارآفرینی سوره
کارکرد فروردین 1405-مهدی چشمه کبودی</t>
  </si>
  <si>
    <t>روز</t>
  </si>
  <si>
    <t>تاریخ</t>
  </si>
  <si>
    <t>تعداد تردد</t>
  </si>
  <si>
    <t>اولین ورود</t>
  </si>
  <si>
    <t>آخرین خروج</t>
  </si>
  <si>
    <t>کارکرد</t>
  </si>
  <si>
    <t>کارکرد موظفی</t>
  </si>
  <si>
    <t>کارکرد موظف پس از کسر مرخصی</t>
  </si>
  <si>
    <t xml:space="preserve">اضافه کار </t>
  </si>
  <si>
    <t>تاخیر</t>
  </si>
  <si>
    <t>جمعه کاری</t>
  </si>
  <si>
    <t>تعطیلکاری</t>
  </si>
  <si>
    <t>شب کاری</t>
  </si>
  <si>
    <t>مرخصی</t>
  </si>
  <si>
    <t>نوع مرخصی</t>
  </si>
  <si>
    <t>مرخصی استحقاقی</t>
  </si>
  <si>
    <t>مرخصی ساعتی</t>
  </si>
  <si>
    <t>مرخصی استعلاجی</t>
  </si>
  <si>
    <t>سه‌شنبه</t>
  </si>
  <si>
    <t>1404/12/26</t>
  </si>
  <si>
    <t>07:20</t>
  </si>
  <si>
    <t>23:20</t>
  </si>
  <si>
    <t>16:00</t>
  </si>
  <si>
    <t>00:00</t>
  </si>
  <si>
    <t>01:20</t>
  </si>
  <si>
    <t>---</t>
  </si>
  <si>
    <t/>
  </si>
  <si>
    <t>----</t>
  </si>
  <si>
    <t>چهارشنبه</t>
  </si>
  <si>
    <t>1404/12/27</t>
  </si>
  <si>
    <t>01:00</t>
  </si>
  <si>
    <t>17:38</t>
  </si>
  <si>
    <t>02:58</t>
  </si>
  <si>
    <t>پنجشنبه</t>
  </si>
  <si>
    <t>1404/12/28</t>
  </si>
  <si>
    <t>00:01</t>
  </si>
  <si>
    <t>10:30</t>
  </si>
  <si>
    <t>03:59</t>
  </si>
  <si>
    <t>جمعه</t>
  </si>
  <si>
    <t>1404/12/29</t>
  </si>
  <si>
    <t>08:00</t>
  </si>
  <si>
    <t>11:30</t>
  </si>
  <si>
    <t>03:30</t>
  </si>
  <si>
    <t>شنبه</t>
  </si>
  <si>
    <t>1405/01/01</t>
  </si>
  <si>
    <t>12:00</t>
  </si>
  <si>
    <t>04:00</t>
  </si>
  <si>
    <t>یکشنبه</t>
  </si>
  <si>
    <t>1405/01/02</t>
  </si>
  <si>
    <t>دوشنبه</t>
  </si>
  <si>
    <t>1405/01/03</t>
  </si>
  <si>
    <t>12:30</t>
  </si>
  <si>
    <t>04:30</t>
  </si>
  <si>
    <t>1405/01/04</t>
  </si>
  <si>
    <t>13:00</t>
  </si>
  <si>
    <t>05:00</t>
  </si>
  <si>
    <t>1405/01/05</t>
  </si>
  <si>
    <t>17:00</t>
  </si>
  <si>
    <t>09:00</t>
  </si>
  <si>
    <t>1405/01/06</t>
  </si>
  <si>
    <t>22:30</t>
  </si>
  <si>
    <t>13:30</t>
  </si>
  <si>
    <t>1405/01/07</t>
  </si>
  <si>
    <t>10:00</t>
  </si>
  <si>
    <t>03:00</t>
  </si>
  <si>
    <t>1405/01/08</t>
  </si>
  <si>
    <t>07:45</t>
  </si>
  <si>
    <t>23:00</t>
  </si>
  <si>
    <t>15:15</t>
  </si>
  <si>
    <t>1405/01/09</t>
  </si>
  <si>
    <t>07:30</t>
  </si>
  <si>
    <t>22:40</t>
  </si>
  <si>
    <t>15:10</t>
  </si>
  <si>
    <t>00:40</t>
  </si>
  <si>
    <t>1405/01/10</t>
  </si>
  <si>
    <t>22:50</t>
  </si>
  <si>
    <t>15:20</t>
  </si>
  <si>
    <t>00:50</t>
  </si>
  <si>
    <t>1405/01/11</t>
  </si>
  <si>
    <t>09:30</t>
  </si>
  <si>
    <t>22:00</t>
  </si>
  <si>
    <t>1405/01/12</t>
  </si>
  <si>
    <t>15:00</t>
  </si>
  <si>
    <t>07:00</t>
  </si>
  <si>
    <t>1405/01/13</t>
  </si>
  <si>
    <t>1405/01/14</t>
  </si>
  <si>
    <t>1405/01/15</t>
  </si>
  <si>
    <t>14:00</t>
  </si>
  <si>
    <t>1405/01/16</t>
  </si>
  <si>
    <t>21:30</t>
  </si>
  <si>
    <t>1405/01/17</t>
  </si>
  <si>
    <t>1405/01/18</t>
  </si>
  <si>
    <t>07:50</t>
  </si>
  <si>
    <t>21:45</t>
  </si>
  <si>
    <t>13:55</t>
  </si>
  <si>
    <t>1405/01/19</t>
  </si>
  <si>
    <t>22:10</t>
  </si>
  <si>
    <t>14:10</t>
  </si>
  <si>
    <t>00:10</t>
  </si>
  <si>
    <t>1405/01/20</t>
  </si>
  <si>
    <t>08:30</t>
  </si>
  <si>
    <t>06:30</t>
  </si>
  <si>
    <t>1405/01/21</t>
  </si>
  <si>
    <t>1405/01/22</t>
  </si>
  <si>
    <t>22:45</t>
  </si>
  <si>
    <t>13:45</t>
  </si>
  <si>
    <t>00:45</t>
  </si>
  <si>
    <t>1405/01/23</t>
  </si>
  <si>
    <t>08:50</t>
  </si>
  <si>
    <t>1405/01/24</t>
  </si>
  <si>
    <t>23:10</t>
  </si>
  <si>
    <t>01:10</t>
  </si>
  <si>
    <t>1405/01/25</t>
  </si>
  <si>
    <t>11:00</t>
  </si>
  <si>
    <t>02:30</t>
  </si>
  <si>
    <t>278:32</t>
  </si>
  <si>
    <t>10:53</t>
  </si>
  <si>
    <t>اضافه کار واقعی</t>
  </si>
  <si>
    <t>شبکاری</t>
  </si>
  <si>
    <t>شرکت توسعه کارآفرینی سوره
کارکردهمکاران - فروردین 1405</t>
  </si>
  <si>
    <t>ردیف</t>
  </si>
  <si>
    <t>نام و نام خانوادگی</t>
  </si>
  <si>
    <t>کارکرد روزانه</t>
  </si>
  <si>
    <t>اضافه کاری</t>
  </si>
  <si>
    <t>شب‌کاری</t>
  </si>
  <si>
    <t>مرخصی روزانه
از 26 اسفند تا 25 فروردین</t>
  </si>
  <si>
    <t>مرخصی ساعتی
از 26 اسفند تا 25 فروردین</t>
  </si>
  <si>
    <t>مرخصی تحصیلی</t>
  </si>
  <si>
    <t>ماموریت بین شهری</t>
  </si>
  <si>
    <t>محمدسجاد زارع میرک آباد</t>
  </si>
  <si>
    <t>محمدصابر نیک‌نام</t>
  </si>
  <si>
    <t>مهدی چشمه کبودی</t>
  </si>
  <si>
    <t>حمید محمدپور نشرودکل</t>
  </si>
  <si>
    <t>سمیرا نورشرق</t>
  </si>
  <si>
    <t>الهه سادات فاطمی</t>
  </si>
  <si>
    <t>معروف فتحی</t>
  </si>
  <si>
    <t>حمید سوری</t>
  </si>
  <si>
    <t>محمدحسین پناهی</t>
  </si>
  <si>
    <t>مجید هادوی</t>
  </si>
  <si>
    <t>مهدی آزانباری</t>
  </si>
  <si>
    <t>زهرا پاشایی</t>
  </si>
  <si>
    <t>غلام‌رضا رحیمی</t>
  </si>
  <si>
    <t>عاطفه ناجی</t>
  </si>
  <si>
    <t>تاییدات</t>
  </si>
  <si>
    <t>تنظیم کننده</t>
  </si>
  <si>
    <t>تایید کننده</t>
  </si>
  <si>
    <t>تصویب کننده</t>
  </si>
  <si>
    <t>سمت سازمانی: راهبر منابع انسانی</t>
  </si>
  <si>
    <t>سمت سازمانی: راهبر اجرایی</t>
  </si>
  <si>
    <t>سمت سازمانی: مدیرعامل</t>
  </si>
  <si>
    <t>سعید قنبری</t>
  </si>
  <si>
    <t>یاسر جلالی</t>
  </si>
  <si>
    <t xml:space="preserve">
تاریخ:
امضا:</t>
  </si>
  <si>
    <t>تعطیل کاری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</si>
</sst>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0"/>
      <name val="Calibri"/>
      <family val="2"/>
    </font>
    <font>
      <b/>
      <sz val="12"/>
      <color rgb="FF000000"/>
      <name val="Calibri"/>
      <family val="2"/>
    </font>
    <font>
      <b/>
      <sz val="11"/>
      <name val="B Nazanin"/>
      <charset val="178"/>
    </font>
    <font>
      <b/>
      <sz val="10"/>
      <name val="B Nazanin"/>
      <charset val="178"/>
    </font>
    <font>
      <b/>
      <sz val="11"/>
      <color rgb="FF000000"/>
      <name val="B Nazanin"/>
      <charset val="178"/>
    </font>
    <font>
      <b/>
      <sz val="10"/>
      <color rgb="FF000000"/>
      <name val="B Nazanin"/>
      <charset val="178"/>
    </font>
    <font>
      <sz val="11"/>
      <color rgb="FF000000"/>
      <name val="B Nazanin"/>
      <charset val="178"/>
    </font>
    <font>
      <sz val="11"/>
      <name val="B Nazanin"/>
      <charset val="178"/>
    </font>
    <font>
      <sz val="10"/>
      <name val="B Nazanin"/>
      <charset val="178"/>
    </font>
    <font>
      <b/>
      <sz val="12"/>
      <color rgb="FF000000"/>
      <name val="B Nazanin"/>
      <charset val="178"/>
    </font>
  </fonts>
  <fills count="9">
    <fill>
      <patternFill patternType="none"/>
    </fill>
    <fill>
      <patternFill patternType="gray125"/>
    </fill>
    <fill>
      <gradientFill degree="90">
        <stop position="0">
          <color rgb="FFEEEEEE"/>
        </stop>
        <stop position="1">
          <color rgb="FFEEEEEE"/>
        </stop>
      </gradient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gradientFill degree="90">
        <stop position="0">
          <color rgb="FFDCEDC8"/>
        </stop>
        <stop position="1">
          <color rgb="FFDCEDC8"/>
        </stop>
      </gradientFill>
    </fill>
    <fill>
      <patternFill patternType="solid">
        <fgColor rgb="FF92D050"/>
        <bgColor indexed="64"/>
      </patternFill>
    </fill>
    <fill>
      <patternFill patternType="solid">
        <fgColor theme="0"/>
        <bgColor auto="1"/>
      </patternFill>
    </fill>
    <fill>
      <patternFill patternType="solid">
        <fgColor theme="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4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6" fontId="2" fillId="0" borderId="1" xfId="0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6" fontId="2" fillId="3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6" fontId="2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6" fontId="3" fillId="5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6" fontId="0" fillId="0" borderId="0" xfId="0" applyNumberFormat="1"/>
    <xf numFmtId="46" fontId="4" fillId="6" borderId="2" xfId="0" applyNumberFormat="1" applyFont="1" applyFill="1" applyBorder="1" applyAlignment="1">
      <alignment horizontal="center"/>
    </xf>
    <xf numFmtId="46" fontId="4" fillId="6" borderId="3" xfId="0" applyNumberFormat="1" applyFont="1" applyFill="1" applyBorder="1" applyAlignment="1">
      <alignment horizontal="center"/>
    </xf>
    <xf numFmtId="46" fontId="4" fillId="6" borderId="4" xfId="0" applyNumberFormat="1" applyFont="1" applyFill="1" applyBorder="1" applyAlignment="1">
      <alignment horizontal="center"/>
    </xf>
    <xf numFmtId="46" fontId="4" fillId="6" borderId="5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46" fontId="0" fillId="0" borderId="0" xfId="0" applyNumberFormat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46" fontId="7" fillId="2" borderId="1" xfId="0" applyNumberFormat="1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46" fontId="6" fillId="7" borderId="1" xfId="0" applyNumberFormat="1" applyFont="1" applyFill="1" applyBorder="1" applyAlignment="1">
      <alignment horizontal="center" vertical="center"/>
    </xf>
    <xf numFmtId="20" fontId="6" fillId="7" borderId="1" xfId="0" applyNumberFormat="1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6" fontId="4" fillId="0" borderId="1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6" fontId="9" fillId="0" borderId="1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46" fontId="5" fillId="0" borderId="0" xfId="0" applyNumberFormat="1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1" fillId="8" borderId="17" xfId="0" applyFont="1" applyFill="1" applyBorder="1" applyAlignment="1">
      <alignment vertical="center"/>
    </xf>
    <xf numFmtId="0" fontId="11" fillId="8" borderId="18" xfId="0" applyFont="1" applyFill="1" applyBorder="1" applyAlignment="1">
      <alignment vertical="center"/>
    </xf>
    <xf numFmtId="46" fontId="11" fillId="8" borderId="18" xfId="0" applyNumberFormat="1" applyFont="1" applyFill="1" applyBorder="1" applyAlignment="1">
      <alignment vertical="center"/>
    </xf>
    <xf numFmtId="0" fontId="11" fillId="8" borderId="19" xfId="0" applyFont="1" applyFill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6" fontId="5" fillId="0" borderId="1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top" wrapText="1"/>
    </xf>
    <xf numFmtId="0" fontId="7" fillId="7" borderId="23" xfId="0" applyFont="1" applyFill="1" applyBorder="1" applyAlignment="1">
      <alignment horizontal="center" vertical="top" wrapText="1"/>
    </xf>
    <xf numFmtId="0" fontId="7" fillId="7" borderId="24" xfId="0" applyFont="1" applyFill="1" applyBorder="1" applyAlignment="1">
      <alignment horizontal="center" vertical="top" wrapText="1"/>
    </xf>
    <xf numFmtId="0" fontId="7" fillId="7" borderId="25" xfId="0" applyFont="1" applyFill="1" applyBorder="1" applyAlignment="1">
      <alignment horizontal="center" vertical="top" wrapText="1"/>
    </xf>
    <xf numFmtId="0" fontId="7" fillId="7" borderId="26" xfId="0" applyFont="1" applyFill="1" applyBorder="1" applyAlignment="1">
      <alignment horizontal="center" vertical="top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4" fillId="0" borderId="13" xfId="0" applyNumberFormat="1" applyFont="1" applyBorder="1" applyAlignment="1">
      <alignment horizontal="center" vertical="center" wrapText="1"/>
    </xf>
    <xf numFmtId="20" fontId="4" fillId="0" borderId="20" xfId="0" applyNumberFormat="1" applyFont="1" applyBorder="1" applyAlignment="1">
      <alignment horizontal="center" vertical="center" wrapText="1"/>
    </xf>
    <xf numFmtId="20" fontId="4" fillId="0" borderId="21" xfId="0" applyNumberFormat="1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20" fontId="5" fillId="0" borderId="13" xfId="0" applyNumberFormat="1" applyFont="1" applyBorder="1" applyAlignment="1">
      <alignment horizontal="center" vertical="center"/>
    </xf>
    <xf numFmtId="20" fontId="5" fillId="0" borderId="20" xfId="0" applyNumberFormat="1" applyFont="1" applyBorder="1" applyAlignment="1">
      <alignment horizontal="center" vertical="center"/>
    </xf>
    <xf numFmtId="20" fontId="5" fillId="0" borderId="21" xfId="0" applyNumberFormat="1" applyFont="1" applyBorder="1" applyAlignment="1">
      <alignment horizontal="center" vertical="center"/>
    </xf>
    <xf numFmtId="46" fontId="1" fillId="2" borderId="1" xfId="0" applyNumberFormat="1" applyFont="1" applyFill="1" applyBorder="1" applyAlignment="1">
      <alignment horizontal="center" vertical="center" wrapText="1"/>
    </xf>
    <xf numFmtId="46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195122</xdr:colOff>
      <xdr:row>0</xdr:row>
      <xdr:rowOff>666750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1D9637-1A22-471E-B144-082CF122C3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7538903" y="0"/>
          <a:ext cx="699947" cy="666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19052</xdr:colOff>
      <xdr:row>2</xdr:row>
      <xdr:rowOff>23719</xdr:rowOff>
    </xdr:from>
    <xdr:to>
      <xdr:col>1</xdr:col>
      <xdr:colOff>123825</xdr:colOff>
      <xdr:row>3</xdr:row>
      <xdr:rowOff>607591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F1E23A-2272-4F3A-A3F7-89F0A3F47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2" y="233269"/>
          <a:ext cx="561973" cy="7743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4B909-A90A-494C-85A6-AA96A98DC0E1}">
  <dimension ref="A1:R37"/>
  <sheetViews>
    <sheetView rightToLeft="1" topLeftCell="A7" workbookViewId="0">
      <selection activeCell="G36" sqref="G36"/>
    </sheetView>
  </sheetViews>
  <sheetFormatPr defaultRowHeight="15" x14ac:dyDescent="0.25"/>
  <cols>
    <col min="1" max="1" width="7.5703125" style="14" bestFit="1" customWidth="1"/>
    <col min="2" max="2" width="10.42578125" bestFit="1" customWidth="1"/>
    <col min="3" max="3" width="7.5703125" bestFit="1" customWidth="1"/>
    <col min="4" max="4" width="7.42578125" style="15" bestFit="1" customWidth="1"/>
    <col min="5" max="5" width="9.140625" style="15"/>
    <col min="6" max="6" width="7.28515625" style="15" bestFit="1" customWidth="1"/>
    <col min="7" max="7" width="10.140625" style="15" bestFit="1" customWidth="1"/>
    <col min="8" max="8" width="22.28515625" style="15" bestFit="1" customWidth="1"/>
    <col min="9" max="9" width="10.140625" style="15" bestFit="1" customWidth="1"/>
    <col min="10" max="10" width="7.85546875" style="15" bestFit="1" customWidth="1"/>
    <col min="11" max="11" width="8" style="15" bestFit="1" customWidth="1"/>
    <col min="12" max="12" width="9" style="15" bestFit="1" customWidth="1"/>
    <col min="13" max="13" width="7.28515625" style="15" bestFit="1" customWidth="1"/>
    <col min="14" max="14" width="6.140625" style="15" bestFit="1" customWidth="1"/>
    <col min="15" max="15" width="8.28515625" bestFit="1" customWidth="1"/>
    <col min="16" max="16" width="12.140625" bestFit="1" customWidth="1"/>
    <col min="17" max="17" width="10.140625" bestFit="1" customWidth="1"/>
    <col min="18" max="18" width="12" bestFit="1" customWidth="1"/>
  </cols>
  <sheetData>
    <row r="1" spans="1:18" ht="58.5" customHeight="1" x14ac:dyDescent="0.25">
      <c r="A1" s="82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</row>
    <row r="2" spans="1:18" x14ac:dyDescent="0.25">
      <c r="A2" s="2" t="s">
        <v>1</v>
      </c>
      <c r="B2" s="2" t="s">
        <v>2</v>
      </c>
      <c r="C2" s="2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spans="1:18" x14ac:dyDescent="0.25">
      <c r="A3" s="3" t="s">
        <v>19</v>
      </c>
      <c r="B3" s="4" t="s">
        <v>20</v>
      </c>
      <c r="C3" s="4">
        <v>2</v>
      </c>
      <c r="D3" s="5" t="s">
        <v>21</v>
      </c>
      <c r="E3" s="5" t="s">
        <v>22</v>
      </c>
      <c r="F3" s="5" t="s">
        <v>23</v>
      </c>
      <c r="G3" s="5">
        <v>0.375</v>
      </c>
      <c r="H3" s="5">
        <v>0.375</v>
      </c>
      <c r="I3" s="5">
        <f>IF(F3&gt;H3, F3-H3, TIME(0,0,0))</f>
        <v>0.29166666666666663</v>
      </c>
      <c r="J3" s="5">
        <f>IF(H3&gt;F3,H3-F3,TIME(0,0,0))</f>
        <v>0</v>
      </c>
      <c r="K3" s="5" t="s">
        <v>24</v>
      </c>
      <c r="L3" s="5"/>
      <c r="M3" s="5" t="s">
        <v>25</v>
      </c>
      <c r="N3" s="5" t="s">
        <v>24</v>
      </c>
      <c r="O3" s="4" t="s">
        <v>26</v>
      </c>
      <c r="P3" s="4" t="s">
        <v>27</v>
      </c>
      <c r="Q3" s="4" t="s">
        <v>28</v>
      </c>
      <c r="R3" s="4" t="s">
        <v>27</v>
      </c>
    </row>
    <row r="4" spans="1:18" x14ac:dyDescent="0.25">
      <c r="A4" s="3" t="s">
        <v>29</v>
      </c>
      <c r="B4" s="4" t="s">
        <v>30</v>
      </c>
      <c r="C4" s="4">
        <v>4</v>
      </c>
      <c r="D4" s="5" t="s">
        <v>21</v>
      </c>
      <c r="E4" s="5" t="s">
        <v>31</v>
      </c>
      <c r="F4" s="5" t="s">
        <v>32</v>
      </c>
      <c r="G4" s="5">
        <v>0.33333333333333331</v>
      </c>
      <c r="H4" s="5">
        <v>0.33333333333333331</v>
      </c>
      <c r="I4" s="5">
        <f>IF(F4&gt;H4, F4-H4, TIME(0,0,0))</f>
        <v>0.40138888888888896</v>
      </c>
      <c r="J4" s="5">
        <f>IF(H4&gt;F4,H4-F4,TIME(0,0,0))</f>
        <v>0</v>
      </c>
      <c r="K4" s="5" t="s">
        <v>24</v>
      </c>
      <c r="L4" s="5"/>
      <c r="M4" s="5" t="s">
        <v>33</v>
      </c>
      <c r="N4" s="5" t="s">
        <v>24</v>
      </c>
      <c r="O4" s="4" t="s">
        <v>26</v>
      </c>
      <c r="P4" s="4" t="s">
        <v>27</v>
      </c>
      <c r="Q4" s="4" t="s">
        <v>28</v>
      </c>
      <c r="R4" s="4" t="s">
        <v>27</v>
      </c>
    </row>
    <row r="5" spans="1:18" x14ac:dyDescent="0.25">
      <c r="A5" s="6" t="s">
        <v>34</v>
      </c>
      <c r="B5" s="7" t="s">
        <v>35</v>
      </c>
      <c r="C5" s="7">
        <v>4</v>
      </c>
      <c r="D5" s="8" t="s">
        <v>36</v>
      </c>
      <c r="E5" s="8" t="s">
        <v>37</v>
      </c>
      <c r="F5" s="8" t="s">
        <v>38</v>
      </c>
      <c r="G5" s="8">
        <v>0</v>
      </c>
      <c r="H5" s="8">
        <v>0</v>
      </c>
      <c r="I5" s="8"/>
      <c r="J5" s="8">
        <v>0</v>
      </c>
      <c r="K5" s="8" t="s">
        <v>24</v>
      </c>
      <c r="L5" s="8" t="str">
        <f>F5</f>
        <v>03:59</v>
      </c>
      <c r="M5" s="8" t="s">
        <v>24</v>
      </c>
      <c r="N5" s="8" t="s">
        <v>24</v>
      </c>
      <c r="O5" s="7" t="s">
        <v>26</v>
      </c>
      <c r="P5" s="7" t="s">
        <v>27</v>
      </c>
      <c r="Q5" s="7" t="s">
        <v>28</v>
      </c>
      <c r="R5" s="7" t="s">
        <v>27</v>
      </c>
    </row>
    <row r="6" spans="1:18" x14ac:dyDescent="0.25">
      <c r="A6" s="9" t="s">
        <v>39</v>
      </c>
      <c r="B6" s="10" t="s">
        <v>40</v>
      </c>
      <c r="C6" s="10">
        <v>2</v>
      </c>
      <c r="D6" s="11" t="s">
        <v>41</v>
      </c>
      <c r="E6" s="11" t="s">
        <v>42</v>
      </c>
      <c r="F6" s="11" t="s">
        <v>43</v>
      </c>
      <c r="G6" s="11">
        <v>0</v>
      </c>
      <c r="H6" s="11">
        <v>0</v>
      </c>
      <c r="I6" s="11"/>
      <c r="J6" s="11">
        <v>0</v>
      </c>
      <c r="K6" s="11" t="s">
        <v>43</v>
      </c>
      <c r="L6" s="11">
        <v>0</v>
      </c>
      <c r="M6" s="11" t="s">
        <v>24</v>
      </c>
      <c r="N6" s="11" t="s">
        <v>24</v>
      </c>
      <c r="O6" s="10" t="s">
        <v>26</v>
      </c>
      <c r="P6" s="10" t="s">
        <v>27</v>
      </c>
      <c r="Q6" s="10" t="s">
        <v>28</v>
      </c>
      <c r="R6" s="10" t="s">
        <v>27</v>
      </c>
    </row>
    <row r="7" spans="1:18" x14ac:dyDescent="0.25">
      <c r="A7" s="6" t="s">
        <v>44</v>
      </c>
      <c r="B7" s="7" t="s">
        <v>45</v>
      </c>
      <c r="C7" s="7">
        <v>2</v>
      </c>
      <c r="D7" s="8" t="s">
        <v>41</v>
      </c>
      <c r="E7" s="8" t="s">
        <v>46</v>
      </c>
      <c r="F7" s="8" t="s">
        <v>47</v>
      </c>
      <c r="G7" s="8">
        <v>0</v>
      </c>
      <c r="H7" s="8">
        <v>0</v>
      </c>
      <c r="I7" s="8"/>
      <c r="J7" s="8">
        <v>0</v>
      </c>
      <c r="K7" s="8" t="s">
        <v>24</v>
      </c>
      <c r="L7" s="8" t="str">
        <f>F7</f>
        <v>04:00</v>
      </c>
      <c r="M7" s="8" t="s">
        <v>24</v>
      </c>
      <c r="N7" s="8" t="s">
        <v>24</v>
      </c>
      <c r="O7" s="7" t="s">
        <v>26</v>
      </c>
      <c r="P7" s="7" t="s">
        <v>27</v>
      </c>
      <c r="Q7" s="7" t="s">
        <v>28</v>
      </c>
      <c r="R7" s="7" t="s">
        <v>27</v>
      </c>
    </row>
    <row r="8" spans="1:18" x14ac:dyDescent="0.25">
      <c r="A8" s="6" t="s">
        <v>48</v>
      </c>
      <c r="B8" s="7" t="s">
        <v>49</v>
      </c>
      <c r="C8" s="7">
        <v>2</v>
      </c>
      <c r="D8" s="8" t="s">
        <v>41</v>
      </c>
      <c r="E8" s="8" t="s">
        <v>46</v>
      </c>
      <c r="F8" s="8" t="s">
        <v>47</v>
      </c>
      <c r="G8" s="8">
        <v>0</v>
      </c>
      <c r="H8" s="8">
        <v>0</v>
      </c>
      <c r="I8" s="8"/>
      <c r="J8" s="8">
        <v>0</v>
      </c>
      <c r="K8" s="8" t="s">
        <v>24</v>
      </c>
      <c r="L8" s="8" t="str">
        <f>F8</f>
        <v>04:00</v>
      </c>
      <c r="M8" s="8" t="s">
        <v>24</v>
      </c>
      <c r="N8" s="8" t="s">
        <v>24</v>
      </c>
      <c r="O8" s="7" t="s">
        <v>26</v>
      </c>
      <c r="P8" s="7" t="s">
        <v>27</v>
      </c>
      <c r="Q8" s="7" t="s">
        <v>28</v>
      </c>
      <c r="R8" s="7" t="s">
        <v>27</v>
      </c>
    </row>
    <row r="9" spans="1:18" x14ac:dyDescent="0.25">
      <c r="A9" s="6" t="s">
        <v>50</v>
      </c>
      <c r="B9" s="7" t="s">
        <v>51</v>
      </c>
      <c r="C9" s="7">
        <v>2</v>
      </c>
      <c r="D9" s="8" t="s">
        <v>41</v>
      </c>
      <c r="E9" s="8" t="s">
        <v>52</v>
      </c>
      <c r="F9" s="8" t="s">
        <v>53</v>
      </c>
      <c r="G9" s="8">
        <v>0</v>
      </c>
      <c r="H9" s="8">
        <v>0</v>
      </c>
      <c r="I9" s="8"/>
      <c r="J9" s="8">
        <v>0</v>
      </c>
      <c r="K9" s="8" t="s">
        <v>24</v>
      </c>
      <c r="L9" s="8">
        <v>0.1875</v>
      </c>
      <c r="M9" s="8" t="s">
        <v>24</v>
      </c>
      <c r="N9" s="8" t="s">
        <v>24</v>
      </c>
      <c r="O9" s="7" t="s">
        <v>26</v>
      </c>
      <c r="P9" s="7" t="s">
        <v>27</v>
      </c>
      <c r="Q9" s="7" t="s">
        <v>28</v>
      </c>
      <c r="R9" s="7" t="s">
        <v>27</v>
      </c>
    </row>
    <row r="10" spans="1:18" x14ac:dyDescent="0.25">
      <c r="A10" s="6" t="s">
        <v>19</v>
      </c>
      <c r="B10" s="7" t="s">
        <v>54</v>
      </c>
      <c r="C10" s="7">
        <v>2</v>
      </c>
      <c r="D10" s="8" t="s">
        <v>41</v>
      </c>
      <c r="E10" s="8" t="s">
        <v>55</v>
      </c>
      <c r="F10" s="8" t="s">
        <v>56</v>
      </c>
      <c r="G10" s="8">
        <v>0</v>
      </c>
      <c r="H10" s="8">
        <v>0</v>
      </c>
      <c r="I10" s="8"/>
      <c r="J10" s="8">
        <v>0</v>
      </c>
      <c r="K10" s="8" t="s">
        <v>24</v>
      </c>
      <c r="L10" s="8">
        <v>0.20833333333333334</v>
      </c>
      <c r="M10" s="8" t="s">
        <v>24</v>
      </c>
      <c r="N10" s="8" t="s">
        <v>24</v>
      </c>
      <c r="O10" s="7" t="s">
        <v>26</v>
      </c>
      <c r="P10" s="7" t="s">
        <v>27</v>
      </c>
      <c r="Q10" s="7" t="s">
        <v>28</v>
      </c>
      <c r="R10" s="7" t="s">
        <v>27</v>
      </c>
    </row>
    <row r="11" spans="1:18" x14ac:dyDescent="0.25">
      <c r="A11" s="3" t="s">
        <v>29</v>
      </c>
      <c r="B11" s="4" t="s">
        <v>57</v>
      </c>
      <c r="C11" s="4">
        <v>2</v>
      </c>
      <c r="D11" s="5" t="s">
        <v>41</v>
      </c>
      <c r="E11" s="5" t="s">
        <v>58</v>
      </c>
      <c r="F11" s="5" t="s">
        <v>59</v>
      </c>
      <c r="G11" s="5">
        <v>0.33333333333333331</v>
      </c>
      <c r="H11" s="5">
        <v>0.33333333333333331</v>
      </c>
      <c r="I11" s="5">
        <f>IF(F11&gt;H11, F11-H11, TIME(0,0,0))</f>
        <v>4.1666666666666685E-2</v>
      </c>
      <c r="J11" s="5">
        <f>IF(H11&gt;F11,H11-F11,TIME(0,0,0))</f>
        <v>0</v>
      </c>
      <c r="K11" s="5" t="s">
        <v>24</v>
      </c>
      <c r="L11" s="5"/>
      <c r="M11" s="5" t="s">
        <v>24</v>
      </c>
      <c r="N11" s="5" t="s">
        <v>24</v>
      </c>
      <c r="O11" s="4" t="s">
        <v>26</v>
      </c>
      <c r="P11" s="4" t="s">
        <v>27</v>
      </c>
      <c r="Q11" s="4" t="s">
        <v>28</v>
      </c>
      <c r="R11" s="4" t="s">
        <v>27</v>
      </c>
    </row>
    <row r="12" spans="1:18" x14ac:dyDescent="0.25">
      <c r="A12" s="6" t="s">
        <v>34</v>
      </c>
      <c r="B12" s="7" t="s">
        <v>60</v>
      </c>
      <c r="C12" s="7">
        <v>2</v>
      </c>
      <c r="D12" s="8" t="s">
        <v>59</v>
      </c>
      <c r="E12" s="8" t="s">
        <v>61</v>
      </c>
      <c r="F12" s="8" t="s">
        <v>62</v>
      </c>
      <c r="G12" s="8">
        <v>0</v>
      </c>
      <c r="H12" s="8">
        <v>0</v>
      </c>
      <c r="I12" s="8"/>
      <c r="J12" s="8">
        <v>0</v>
      </c>
      <c r="K12" s="8" t="s">
        <v>24</v>
      </c>
      <c r="L12" s="8">
        <v>0.5625</v>
      </c>
      <c r="M12" s="8" t="s">
        <v>24</v>
      </c>
      <c r="N12" s="8" t="s">
        <v>24</v>
      </c>
      <c r="O12" s="7" t="s">
        <v>26</v>
      </c>
      <c r="P12" s="7" t="s">
        <v>27</v>
      </c>
      <c r="Q12" s="7" t="s">
        <v>28</v>
      </c>
      <c r="R12" s="7" t="s">
        <v>27</v>
      </c>
    </row>
    <row r="13" spans="1:18" x14ac:dyDescent="0.25">
      <c r="A13" s="9" t="s">
        <v>39</v>
      </c>
      <c r="B13" s="10" t="s">
        <v>63</v>
      </c>
      <c r="C13" s="10">
        <v>2</v>
      </c>
      <c r="D13" s="11" t="s">
        <v>64</v>
      </c>
      <c r="E13" s="11" t="s">
        <v>55</v>
      </c>
      <c r="F13" s="11" t="s">
        <v>65</v>
      </c>
      <c r="G13" s="11">
        <v>0</v>
      </c>
      <c r="H13" s="11">
        <v>0</v>
      </c>
      <c r="I13" s="11"/>
      <c r="J13" s="11">
        <v>0</v>
      </c>
      <c r="K13" s="11" t="s">
        <v>65</v>
      </c>
      <c r="L13" s="11">
        <v>0</v>
      </c>
      <c r="M13" s="11" t="s">
        <v>24</v>
      </c>
      <c r="N13" s="11" t="s">
        <v>24</v>
      </c>
      <c r="O13" s="10" t="s">
        <v>26</v>
      </c>
      <c r="P13" s="10" t="s">
        <v>27</v>
      </c>
      <c r="Q13" s="10" t="s">
        <v>28</v>
      </c>
      <c r="R13" s="10" t="s">
        <v>27</v>
      </c>
    </row>
    <row r="14" spans="1:18" x14ac:dyDescent="0.25">
      <c r="A14" s="3" t="s">
        <v>44</v>
      </c>
      <c r="B14" s="4" t="s">
        <v>66</v>
      </c>
      <c r="C14" s="4">
        <v>2</v>
      </c>
      <c r="D14" s="5" t="s">
        <v>67</v>
      </c>
      <c r="E14" s="5" t="s">
        <v>68</v>
      </c>
      <c r="F14" s="5" t="s">
        <v>69</v>
      </c>
      <c r="G14" s="5">
        <v>0.375</v>
      </c>
      <c r="H14" s="5">
        <v>0.375</v>
      </c>
      <c r="I14" s="5">
        <f>IF(F14&gt;H14, F14-H14, TIME(0,0,0))</f>
        <v>0.26041666666666663</v>
      </c>
      <c r="J14" s="5">
        <f>IF(H14&gt;F14,H14-F14,TIME(0,0,0))</f>
        <v>0</v>
      </c>
      <c r="K14" s="5" t="s">
        <v>24</v>
      </c>
      <c r="L14" s="5"/>
      <c r="M14" s="5" t="s">
        <v>31</v>
      </c>
      <c r="N14" s="5" t="s">
        <v>24</v>
      </c>
      <c r="O14" s="4" t="s">
        <v>26</v>
      </c>
      <c r="P14" s="4" t="s">
        <v>27</v>
      </c>
      <c r="Q14" s="4" t="s">
        <v>28</v>
      </c>
      <c r="R14" s="4" t="s">
        <v>27</v>
      </c>
    </row>
    <row r="15" spans="1:18" x14ac:dyDescent="0.25">
      <c r="A15" s="3" t="s">
        <v>48</v>
      </c>
      <c r="B15" s="4" t="s">
        <v>70</v>
      </c>
      <c r="C15" s="4">
        <v>2</v>
      </c>
      <c r="D15" s="5" t="s">
        <v>71</v>
      </c>
      <c r="E15" s="5" t="s">
        <v>72</v>
      </c>
      <c r="F15" s="5" t="s">
        <v>73</v>
      </c>
      <c r="G15" s="5">
        <v>0.375</v>
      </c>
      <c r="H15" s="5">
        <v>0.375</v>
      </c>
      <c r="I15" s="5">
        <f>IF(F15&gt;H15, F15-H15, TIME(0,0,0))</f>
        <v>0.25694444444444442</v>
      </c>
      <c r="J15" s="5">
        <f>IF(H15&gt;F15,H15-F15,TIME(0,0,0))</f>
        <v>0</v>
      </c>
      <c r="K15" s="5" t="s">
        <v>24</v>
      </c>
      <c r="L15" s="5"/>
      <c r="M15" s="5" t="s">
        <v>74</v>
      </c>
      <c r="N15" s="5" t="s">
        <v>24</v>
      </c>
      <c r="O15" s="4" t="s">
        <v>26</v>
      </c>
      <c r="P15" s="4" t="s">
        <v>27</v>
      </c>
      <c r="Q15" s="4" t="s">
        <v>28</v>
      </c>
      <c r="R15" s="4" t="s">
        <v>27</v>
      </c>
    </row>
    <row r="16" spans="1:18" x14ac:dyDescent="0.25">
      <c r="A16" s="3" t="s">
        <v>50</v>
      </c>
      <c r="B16" s="4" t="s">
        <v>75</v>
      </c>
      <c r="C16" s="4">
        <v>2</v>
      </c>
      <c r="D16" s="5" t="s">
        <v>71</v>
      </c>
      <c r="E16" s="5" t="s">
        <v>76</v>
      </c>
      <c r="F16" s="5" t="s">
        <v>77</v>
      </c>
      <c r="G16" s="5">
        <v>0.375</v>
      </c>
      <c r="H16" s="5">
        <v>0.375</v>
      </c>
      <c r="I16" s="5">
        <f>IF(F16&gt;H16, F16-H16, TIME(0,0,0))</f>
        <v>0.26388888888888884</v>
      </c>
      <c r="J16" s="5">
        <f>IF(H16&gt;F16,H16-F16,TIME(0,0,0))</f>
        <v>0</v>
      </c>
      <c r="K16" s="5" t="s">
        <v>24</v>
      </c>
      <c r="L16" s="5"/>
      <c r="M16" s="5" t="s">
        <v>78</v>
      </c>
      <c r="N16" s="5" t="s">
        <v>24</v>
      </c>
      <c r="O16" s="4" t="s">
        <v>26</v>
      </c>
      <c r="P16" s="4" t="s">
        <v>27</v>
      </c>
      <c r="Q16" s="4" t="s">
        <v>28</v>
      </c>
      <c r="R16" s="4" t="s">
        <v>27</v>
      </c>
    </row>
    <row r="17" spans="1:18" x14ac:dyDescent="0.25">
      <c r="A17" s="3" t="s">
        <v>19</v>
      </c>
      <c r="B17" s="4" t="s">
        <v>79</v>
      </c>
      <c r="C17" s="4">
        <v>2</v>
      </c>
      <c r="D17" s="5" t="s">
        <v>80</v>
      </c>
      <c r="E17" s="5" t="s">
        <v>81</v>
      </c>
      <c r="F17" s="5" t="s">
        <v>52</v>
      </c>
      <c r="G17" s="5">
        <v>0.375</v>
      </c>
      <c r="H17" s="5">
        <v>0.375</v>
      </c>
      <c r="I17" s="5">
        <f>IF(F17&gt;H17, F17-H17, TIME(0,0,0))</f>
        <v>0.14583333333333337</v>
      </c>
      <c r="J17" s="5">
        <f>IF(H17&gt;F17,H17-F17,TIME(0,0,0))</f>
        <v>0</v>
      </c>
      <c r="K17" s="5" t="s">
        <v>24</v>
      </c>
      <c r="L17" s="5"/>
      <c r="M17" s="5" t="s">
        <v>24</v>
      </c>
      <c r="N17" s="5" t="s">
        <v>24</v>
      </c>
      <c r="O17" s="4" t="s">
        <v>26</v>
      </c>
      <c r="P17" s="4" t="s">
        <v>27</v>
      </c>
      <c r="Q17" s="4" t="s">
        <v>28</v>
      </c>
      <c r="R17" s="4" t="s">
        <v>27</v>
      </c>
    </row>
    <row r="18" spans="1:18" x14ac:dyDescent="0.25">
      <c r="A18" s="6" t="s">
        <v>29</v>
      </c>
      <c r="B18" s="7" t="s">
        <v>82</v>
      </c>
      <c r="C18" s="7">
        <v>2</v>
      </c>
      <c r="D18" s="8" t="s">
        <v>41</v>
      </c>
      <c r="E18" s="8" t="s">
        <v>83</v>
      </c>
      <c r="F18" s="8" t="s">
        <v>84</v>
      </c>
      <c r="G18" s="8">
        <v>0</v>
      </c>
      <c r="H18" s="8">
        <v>0</v>
      </c>
      <c r="I18" s="8"/>
      <c r="J18" s="8">
        <v>0</v>
      </c>
      <c r="K18" s="8" t="s">
        <v>24</v>
      </c>
      <c r="L18" s="8">
        <v>0.29166666666666669</v>
      </c>
      <c r="M18" s="8" t="s">
        <v>24</v>
      </c>
      <c r="N18" s="8" t="s">
        <v>24</v>
      </c>
      <c r="O18" s="7" t="s">
        <v>26</v>
      </c>
      <c r="P18" s="7" t="s">
        <v>27</v>
      </c>
      <c r="Q18" s="7" t="s">
        <v>28</v>
      </c>
      <c r="R18" s="7" t="s">
        <v>27</v>
      </c>
    </row>
    <row r="19" spans="1:18" x14ac:dyDescent="0.25">
      <c r="A19" s="6" t="s">
        <v>34</v>
      </c>
      <c r="B19" s="7" t="s">
        <v>85</v>
      </c>
      <c r="C19" s="7">
        <v>2</v>
      </c>
      <c r="D19" s="8" t="s">
        <v>41</v>
      </c>
      <c r="E19" s="8" t="s">
        <v>52</v>
      </c>
      <c r="F19" s="8" t="s">
        <v>53</v>
      </c>
      <c r="G19" s="8">
        <v>0</v>
      </c>
      <c r="H19" s="8">
        <v>0</v>
      </c>
      <c r="I19" s="8"/>
      <c r="J19" s="8">
        <v>0</v>
      </c>
      <c r="K19" s="8" t="s">
        <v>24</v>
      </c>
      <c r="L19" s="8">
        <v>0.1875</v>
      </c>
      <c r="M19" s="8" t="s">
        <v>24</v>
      </c>
      <c r="N19" s="8" t="s">
        <v>24</v>
      </c>
      <c r="O19" s="7" t="s">
        <v>26</v>
      </c>
      <c r="P19" s="7" t="s">
        <v>27</v>
      </c>
      <c r="Q19" s="7" t="s">
        <v>28</v>
      </c>
      <c r="R19" s="7" t="s">
        <v>27</v>
      </c>
    </row>
    <row r="20" spans="1:18" x14ac:dyDescent="0.25">
      <c r="A20" s="9" t="s">
        <v>39</v>
      </c>
      <c r="B20" s="10" t="s">
        <v>86</v>
      </c>
      <c r="C20" s="10" t="s">
        <v>27</v>
      </c>
      <c r="D20" s="11" t="s">
        <v>28</v>
      </c>
      <c r="E20" s="11" t="s">
        <v>28</v>
      </c>
      <c r="F20" s="11" t="s">
        <v>24</v>
      </c>
      <c r="G20" s="11">
        <v>0</v>
      </c>
      <c r="H20" s="11">
        <v>0</v>
      </c>
      <c r="I20" s="11"/>
      <c r="J20" s="11">
        <f t="shared" ref="J20" si="0">H20-F20</f>
        <v>0</v>
      </c>
      <c r="K20" s="11" t="str">
        <f>F20</f>
        <v>00:00</v>
      </c>
      <c r="L20" s="11">
        <v>0</v>
      </c>
      <c r="M20" s="11" t="s">
        <v>24</v>
      </c>
      <c r="N20" s="11" t="s">
        <v>24</v>
      </c>
      <c r="O20" s="10" t="s">
        <v>26</v>
      </c>
      <c r="P20" s="10" t="s">
        <v>27</v>
      </c>
      <c r="Q20" s="10" t="s">
        <v>28</v>
      </c>
      <c r="R20" s="10" t="s">
        <v>27</v>
      </c>
    </row>
    <row r="21" spans="1:18" x14ac:dyDescent="0.25">
      <c r="A21" s="3" t="s">
        <v>44</v>
      </c>
      <c r="B21" s="4" t="s">
        <v>87</v>
      </c>
      <c r="C21" s="4">
        <v>2</v>
      </c>
      <c r="D21" s="5" t="s">
        <v>59</v>
      </c>
      <c r="E21" s="5" t="s">
        <v>68</v>
      </c>
      <c r="F21" s="5" t="s">
        <v>88</v>
      </c>
      <c r="G21" s="5">
        <v>0.375</v>
      </c>
      <c r="H21" s="5">
        <v>0.375</v>
      </c>
      <c r="I21" s="5">
        <f>IF(F21&gt;H21, F21-H21, TIME(0,0,0))</f>
        <v>0.20833333333333337</v>
      </c>
      <c r="J21" s="5">
        <f>IF(H21&gt;F21,H21-F21,TIME(0,0,0))</f>
        <v>0</v>
      </c>
      <c r="K21" s="5" t="s">
        <v>24</v>
      </c>
      <c r="L21" s="5"/>
      <c r="M21" s="5" t="s">
        <v>31</v>
      </c>
      <c r="N21" s="5" t="s">
        <v>24</v>
      </c>
      <c r="O21" s="4" t="s">
        <v>26</v>
      </c>
      <c r="P21" s="4" t="s">
        <v>27</v>
      </c>
      <c r="Q21" s="4" t="s">
        <v>28</v>
      </c>
      <c r="R21" s="4" t="s">
        <v>27</v>
      </c>
    </row>
    <row r="22" spans="1:18" x14ac:dyDescent="0.25">
      <c r="A22" s="3" t="s">
        <v>48</v>
      </c>
      <c r="B22" s="4" t="s">
        <v>89</v>
      </c>
      <c r="C22" s="4">
        <v>2</v>
      </c>
      <c r="D22" s="5" t="s">
        <v>41</v>
      </c>
      <c r="E22" s="5" t="s">
        <v>90</v>
      </c>
      <c r="F22" s="5" t="s">
        <v>62</v>
      </c>
      <c r="G22" s="5">
        <v>0.375</v>
      </c>
      <c r="H22" s="5">
        <v>0.375</v>
      </c>
      <c r="I22" s="5">
        <f>IF(F22&gt;H22, F22-H22, TIME(0,0,0))</f>
        <v>0.1875</v>
      </c>
      <c r="J22" s="5">
        <f>IF(H22&gt;F22,H22-F22,TIME(0,0,0))</f>
        <v>0</v>
      </c>
      <c r="K22" s="5" t="s">
        <v>24</v>
      </c>
      <c r="L22" s="5"/>
      <c r="M22" s="5" t="s">
        <v>24</v>
      </c>
      <c r="N22" s="5" t="s">
        <v>24</v>
      </c>
      <c r="O22" s="4" t="s">
        <v>26</v>
      </c>
      <c r="P22" s="4" t="s">
        <v>27</v>
      </c>
      <c r="Q22" s="4" t="s">
        <v>28</v>
      </c>
      <c r="R22" s="4" t="s">
        <v>27</v>
      </c>
    </row>
    <row r="23" spans="1:18" x14ac:dyDescent="0.25">
      <c r="A23" s="3" t="s">
        <v>50</v>
      </c>
      <c r="B23" s="4" t="s">
        <v>91</v>
      </c>
      <c r="C23" s="4">
        <v>2</v>
      </c>
      <c r="D23" s="5" t="s">
        <v>41</v>
      </c>
      <c r="E23" s="5" t="s">
        <v>81</v>
      </c>
      <c r="F23" s="5" t="s">
        <v>88</v>
      </c>
      <c r="G23" s="5">
        <v>0.375</v>
      </c>
      <c r="H23" s="5">
        <v>0.375</v>
      </c>
      <c r="I23" s="5">
        <f>IF(F23&gt;H23, F23-H23, TIME(0,0,0))</f>
        <v>0.20833333333333337</v>
      </c>
      <c r="J23" s="5">
        <f>IF(H23&gt;F23,H23-F23,TIME(0,0,0))</f>
        <v>0</v>
      </c>
      <c r="K23" s="5" t="s">
        <v>24</v>
      </c>
      <c r="L23" s="5"/>
      <c r="M23" s="5" t="s">
        <v>24</v>
      </c>
      <c r="N23" s="5" t="s">
        <v>24</v>
      </c>
      <c r="O23" s="4" t="s">
        <v>26</v>
      </c>
      <c r="P23" s="4" t="s">
        <v>27</v>
      </c>
      <c r="Q23" s="4" t="s">
        <v>28</v>
      </c>
      <c r="R23" s="4" t="s">
        <v>27</v>
      </c>
    </row>
    <row r="24" spans="1:18" x14ac:dyDescent="0.25">
      <c r="A24" s="3" t="s">
        <v>19</v>
      </c>
      <c r="B24" s="4" t="s">
        <v>92</v>
      </c>
      <c r="C24" s="4">
        <v>2</v>
      </c>
      <c r="D24" s="5" t="s">
        <v>93</v>
      </c>
      <c r="E24" s="5" t="s">
        <v>94</v>
      </c>
      <c r="F24" s="5" t="s">
        <v>95</v>
      </c>
      <c r="G24" s="5">
        <v>0.375</v>
      </c>
      <c r="H24" s="5">
        <v>0.375</v>
      </c>
      <c r="I24" s="5">
        <f>IF(F24&gt;H24, F24-H24, TIME(0,0,0))</f>
        <v>0.20486111111111116</v>
      </c>
      <c r="J24" s="5">
        <f>IF(H24&gt;F24,H24-F24,TIME(0,0,0))</f>
        <v>0</v>
      </c>
      <c r="K24" s="5" t="s">
        <v>24</v>
      </c>
      <c r="L24" s="5"/>
      <c r="M24" s="5" t="s">
        <v>24</v>
      </c>
      <c r="N24" s="5" t="s">
        <v>24</v>
      </c>
      <c r="O24" s="4" t="s">
        <v>26</v>
      </c>
      <c r="P24" s="4" t="s">
        <v>27</v>
      </c>
      <c r="Q24" s="4" t="s">
        <v>28</v>
      </c>
      <c r="R24" s="4" t="s">
        <v>27</v>
      </c>
    </row>
    <row r="25" spans="1:18" x14ac:dyDescent="0.25">
      <c r="A25" s="3" t="s">
        <v>29</v>
      </c>
      <c r="B25" s="4" t="s">
        <v>96</v>
      </c>
      <c r="C25" s="4">
        <v>2</v>
      </c>
      <c r="D25" s="5" t="s">
        <v>41</v>
      </c>
      <c r="E25" s="5" t="s">
        <v>97</v>
      </c>
      <c r="F25" s="5" t="s">
        <v>98</v>
      </c>
      <c r="G25" s="5">
        <v>0.33333333333333331</v>
      </c>
      <c r="H25" s="5">
        <v>0.33333333333333331</v>
      </c>
      <c r="I25" s="5">
        <f>IF(F25&gt;H25, F25-H25, TIME(0,0,0))</f>
        <v>0.25694444444444448</v>
      </c>
      <c r="J25" s="5">
        <f>IF(H25&gt;F25,H25-F25,TIME(0,0,0))</f>
        <v>0</v>
      </c>
      <c r="K25" s="5" t="s">
        <v>24</v>
      </c>
      <c r="L25" s="5"/>
      <c r="M25" s="5" t="s">
        <v>99</v>
      </c>
      <c r="N25" s="5" t="s">
        <v>24</v>
      </c>
      <c r="O25" s="4" t="s">
        <v>26</v>
      </c>
      <c r="P25" s="4" t="s">
        <v>27</v>
      </c>
      <c r="Q25" s="4" t="s">
        <v>28</v>
      </c>
      <c r="R25" s="4" t="s">
        <v>27</v>
      </c>
    </row>
    <row r="26" spans="1:18" x14ac:dyDescent="0.25">
      <c r="A26" s="6" t="s">
        <v>34</v>
      </c>
      <c r="B26" s="7" t="s">
        <v>100</v>
      </c>
      <c r="C26" s="7">
        <v>2</v>
      </c>
      <c r="D26" s="8" t="s">
        <v>101</v>
      </c>
      <c r="E26" s="8" t="s">
        <v>83</v>
      </c>
      <c r="F26" s="8" t="s">
        <v>102</v>
      </c>
      <c r="G26" s="8">
        <v>0</v>
      </c>
      <c r="H26" s="8">
        <v>0</v>
      </c>
      <c r="I26" s="8"/>
      <c r="J26" s="8">
        <v>0</v>
      </c>
      <c r="K26" s="8" t="s">
        <v>24</v>
      </c>
      <c r="L26" s="8">
        <f>G26</f>
        <v>0</v>
      </c>
      <c r="M26" s="8" t="s">
        <v>24</v>
      </c>
      <c r="N26" s="8" t="s">
        <v>24</v>
      </c>
      <c r="O26" s="7" t="s">
        <v>26</v>
      </c>
      <c r="P26" s="7" t="s">
        <v>27</v>
      </c>
      <c r="Q26" s="7" t="s">
        <v>28</v>
      </c>
      <c r="R26" s="7" t="s">
        <v>27</v>
      </c>
    </row>
    <row r="27" spans="1:18" x14ac:dyDescent="0.25">
      <c r="A27" s="9" t="s">
        <v>39</v>
      </c>
      <c r="B27" s="10" t="s">
        <v>103</v>
      </c>
      <c r="C27" s="10">
        <v>2</v>
      </c>
      <c r="D27" s="11" t="s">
        <v>59</v>
      </c>
      <c r="E27" s="11" t="s">
        <v>55</v>
      </c>
      <c r="F27" s="11" t="s">
        <v>47</v>
      </c>
      <c r="G27" s="11">
        <v>0</v>
      </c>
      <c r="H27" s="11">
        <v>0</v>
      </c>
      <c r="I27" s="11"/>
      <c r="J27" s="11">
        <v>0</v>
      </c>
      <c r="K27" s="11" t="str">
        <f>F27</f>
        <v>04:00</v>
      </c>
      <c r="L27" s="11">
        <f>G27</f>
        <v>0</v>
      </c>
      <c r="M27" s="11" t="s">
        <v>24</v>
      </c>
      <c r="N27" s="11" t="s">
        <v>24</v>
      </c>
      <c r="O27" s="10" t="s">
        <v>26</v>
      </c>
      <c r="P27" s="10" t="s">
        <v>27</v>
      </c>
      <c r="Q27" s="10" t="s">
        <v>28</v>
      </c>
      <c r="R27" s="10" t="s">
        <v>27</v>
      </c>
    </row>
    <row r="28" spans="1:18" x14ac:dyDescent="0.25">
      <c r="A28" s="3" t="s">
        <v>44</v>
      </c>
      <c r="B28" s="4" t="s">
        <v>104</v>
      </c>
      <c r="C28" s="4">
        <v>2</v>
      </c>
      <c r="D28" s="5" t="s">
        <v>59</v>
      </c>
      <c r="E28" s="5" t="s">
        <v>105</v>
      </c>
      <c r="F28" s="5" t="s">
        <v>106</v>
      </c>
      <c r="G28" s="5">
        <v>0.375</v>
      </c>
      <c r="H28" s="5">
        <v>0.375</v>
      </c>
      <c r="I28" s="5">
        <f>IF(F28&gt;H28, F28-H28, TIME(0,0,0))</f>
        <v>0.19791666666666663</v>
      </c>
      <c r="J28" s="5">
        <f>IF(H28&gt;F28,H28-F28,TIME(0,0,0))</f>
        <v>0</v>
      </c>
      <c r="K28" s="5" t="s">
        <v>24</v>
      </c>
      <c r="L28" s="5"/>
      <c r="M28" s="5" t="s">
        <v>107</v>
      </c>
      <c r="N28" s="5" t="s">
        <v>24</v>
      </c>
      <c r="O28" s="4" t="s">
        <v>26</v>
      </c>
      <c r="P28" s="4" t="s">
        <v>27</v>
      </c>
      <c r="Q28" s="4" t="s">
        <v>28</v>
      </c>
      <c r="R28" s="4" t="s">
        <v>27</v>
      </c>
    </row>
    <row r="29" spans="1:18" x14ac:dyDescent="0.25">
      <c r="A29" s="3" t="s">
        <v>48</v>
      </c>
      <c r="B29" s="4" t="s">
        <v>108</v>
      </c>
      <c r="C29" s="4">
        <v>2</v>
      </c>
      <c r="D29" s="5" t="s">
        <v>109</v>
      </c>
      <c r="E29" s="5" t="s">
        <v>68</v>
      </c>
      <c r="F29" s="5" t="s">
        <v>98</v>
      </c>
      <c r="G29" s="5">
        <v>0.375</v>
      </c>
      <c r="H29" s="5">
        <v>0.375</v>
      </c>
      <c r="I29" s="5">
        <f>IF(F29&gt;H29, F29-H29, TIME(0,0,0))</f>
        <v>0.21527777777777779</v>
      </c>
      <c r="J29" s="5">
        <f>IF(H29&gt;F29,H29-F29,TIME(0,0,0))</f>
        <v>0</v>
      </c>
      <c r="K29" s="5" t="s">
        <v>24</v>
      </c>
      <c r="L29" s="5"/>
      <c r="M29" s="5" t="s">
        <v>31</v>
      </c>
      <c r="N29" s="5" t="s">
        <v>24</v>
      </c>
      <c r="O29" s="4" t="s">
        <v>26</v>
      </c>
      <c r="P29" s="4" t="s">
        <v>27</v>
      </c>
      <c r="Q29" s="4" t="s">
        <v>28</v>
      </c>
      <c r="R29" s="4" t="s">
        <v>27</v>
      </c>
    </row>
    <row r="30" spans="1:18" x14ac:dyDescent="0.25">
      <c r="A30" s="3" t="s">
        <v>50</v>
      </c>
      <c r="B30" s="4" t="s">
        <v>110</v>
      </c>
      <c r="C30" s="4">
        <v>2</v>
      </c>
      <c r="D30" s="5" t="s">
        <v>59</v>
      </c>
      <c r="E30" s="5" t="s">
        <v>111</v>
      </c>
      <c r="F30" s="5" t="s">
        <v>98</v>
      </c>
      <c r="G30" s="5">
        <v>0.375</v>
      </c>
      <c r="H30" s="5">
        <v>0.375</v>
      </c>
      <c r="I30" s="5">
        <f>IF(F30&gt;H30, F30-H30, TIME(0,0,0))</f>
        <v>0.21527777777777779</v>
      </c>
      <c r="J30" s="5">
        <f>IF(H30&gt;F30,H30-F30,TIME(0,0,0))</f>
        <v>0</v>
      </c>
      <c r="K30" s="5" t="s">
        <v>24</v>
      </c>
      <c r="L30" s="5"/>
      <c r="M30" s="5" t="s">
        <v>112</v>
      </c>
      <c r="N30" s="5" t="s">
        <v>24</v>
      </c>
      <c r="O30" s="4" t="s">
        <v>26</v>
      </c>
      <c r="P30" s="4" t="s">
        <v>27</v>
      </c>
      <c r="Q30" s="4" t="s">
        <v>28</v>
      </c>
      <c r="R30" s="4" t="s">
        <v>27</v>
      </c>
    </row>
    <row r="31" spans="1:18" x14ac:dyDescent="0.25">
      <c r="A31" s="6" t="s">
        <v>19</v>
      </c>
      <c r="B31" s="7" t="s">
        <v>113</v>
      </c>
      <c r="C31" s="7">
        <v>2</v>
      </c>
      <c r="D31" s="8" t="s">
        <v>114</v>
      </c>
      <c r="E31" s="8" t="s">
        <v>62</v>
      </c>
      <c r="F31" s="8" t="s">
        <v>115</v>
      </c>
      <c r="G31" s="8">
        <v>0</v>
      </c>
      <c r="H31" s="8">
        <v>0</v>
      </c>
      <c r="I31" s="8"/>
      <c r="J31" s="8">
        <v>0</v>
      </c>
      <c r="K31" s="8" t="s">
        <v>24</v>
      </c>
      <c r="L31" s="8">
        <v>0.10416666666666667</v>
      </c>
      <c r="M31" s="8" t="s">
        <v>24</v>
      </c>
      <c r="N31" s="8" t="s">
        <v>24</v>
      </c>
      <c r="O31" s="7" t="s">
        <v>26</v>
      </c>
      <c r="P31" s="7" t="s">
        <v>27</v>
      </c>
      <c r="Q31" s="7" t="s">
        <v>28</v>
      </c>
      <c r="R31" s="7" t="s">
        <v>27</v>
      </c>
    </row>
    <row r="32" spans="1:18" ht="15.75" x14ac:dyDescent="0.25">
      <c r="A32" s="12"/>
      <c r="B32" s="12" t="s">
        <v>27</v>
      </c>
      <c r="C32" s="12">
        <v>60</v>
      </c>
      <c r="D32" s="13" t="s">
        <v>27</v>
      </c>
      <c r="E32" s="13" t="s">
        <v>27</v>
      </c>
      <c r="F32" s="13" t="s">
        <v>116</v>
      </c>
      <c r="G32" s="13">
        <f>SUM(G3:G31)</f>
        <v>5.4999999999999991</v>
      </c>
      <c r="H32" s="13">
        <f>SUM(H3:H31)</f>
        <v>5.4999999999999991</v>
      </c>
      <c r="I32" s="13">
        <f>SUM(I3:I31)</f>
        <v>3.3562500000000002</v>
      </c>
      <c r="J32" s="13">
        <f>SUM(J3:J31)</f>
        <v>0</v>
      </c>
      <c r="K32" s="13" t="s">
        <v>37</v>
      </c>
      <c r="L32" s="13">
        <f>SUM(L9:L31)</f>
        <v>1.5416666666666667</v>
      </c>
      <c r="M32" s="13" t="s">
        <v>117</v>
      </c>
      <c r="N32" s="13" t="s">
        <v>24</v>
      </c>
      <c r="O32" s="12" t="s">
        <v>27</v>
      </c>
      <c r="P32" s="12" t="s">
        <v>27</v>
      </c>
      <c r="Q32" s="12" t="s">
        <v>27</v>
      </c>
      <c r="R32" s="12" t="s">
        <v>27</v>
      </c>
    </row>
    <row r="33" spans="7:8" ht="15.75" thickBot="1" x14ac:dyDescent="0.3"/>
    <row r="34" spans="7:8" ht="19.5" x14ac:dyDescent="0.5">
      <c r="G34" s="16">
        <f>I32-J32</f>
        <v>3.3562500000000002</v>
      </c>
      <c r="H34" s="17" t="s">
        <v>118</v>
      </c>
    </row>
    <row r="35" spans="7:8" ht="19.5" x14ac:dyDescent="0.5">
      <c r="G35" s="18">
        <f>L32</f>
        <v>1.5416666666666667</v>
      </c>
      <c r="H35" s="19" t="s">
        <v>12</v>
      </c>
    </row>
    <row r="36" spans="7:8" ht="19.5" x14ac:dyDescent="0.5">
      <c r="G36" s="18" t="str">
        <f>K32</f>
        <v>10:30</v>
      </c>
      <c r="H36" s="19" t="s">
        <v>11</v>
      </c>
    </row>
    <row r="37" spans="7:8" ht="19.5" x14ac:dyDescent="0.5">
      <c r="G37" s="18" t="str">
        <f>M32</f>
        <v>10:53</v>
      </c>
      <c r="H37" s="19" t="s">
        <v>119</v>
      </c>
    </row>
  </sheetData>
  <mergeCells count="1">
    <mergeCell ref="A1:R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204B2-B078-4B9C-8CC0-B35A93ED6F02}">
  <dimension ref="A1:L36"/>
  <sheetViews>
    <sheetView rightToLeft="1" tabSelected="1" workbookViewId="0">
      <selection activeCell="D24" sqref="D24"/>
    </sheetView>
  </sheetViews>
  <sheetFormatPr defaultRowHeight="15.75" x14ac:dyDescent="0.25"/>
  <cols>
    <col min="1" max="1" width="6.85546875" style="20" customWidth="1"/>
    <col min="2" max="2" width="23.85546875" style="14" customWidth="1"/>
    <col min="3" max="3" width="8" style="14" customWidth="1"/>
    <col min="4" max="4" width="14" style="21" customWidth="1"/>
    <col min="5" max="5" width="12.5703125" style="14" customWidth="1"/>
    <col min="6" max="7" width="11.28515625" style="21" customWidth="1"/>
    <col min="8" max="8" width="8.7109375" style="14" customWidth="1"/>
    <col min="9" max="9" width="10.140625" style="14" customWidth="1"/>
    <col min="10" max="11" width="8.28515625" style="14" customWidth="1"/>
    <col min="12" max="12" width="8.85546875" style="14" customWidth="1"/>
  </cols>
  <sheetData>
    <row r="1" spans="1:12" ht="16.5" thickBot="1" x14ac:dyDescent="0.3"/>
    <row r="2" spans="1:12" ht="16.5" hidden="1" thickBot="1" x14ac:dyDescent="0.3"/>
    <row r="3" spans="1:12" ht="15" customHeight="1" x14ac:dyDescent="0.25">
      <c r="A3" s="66" t="s">
        <v>120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51" customHeight="1" x14ac:dyDescent="0.25">
      <c r="A4" s="69"/>
      <c r="B4" s="70"/>
      <c r="C4" s="70"/>
      <c r="D4" s="70"/>
      <c r="E4" s="70"/>
      <c r="F4" s="70"/>
      <c r="G4" s="70"/>
      <c r="H4" s="70"/>
      <c r="I4" s="70"/>
      <c r="J4" s="70"/>
      <c r="K4" s="70"/>
      <c r="L4" s="71"/>
    </row>
    <row r="5" spans="1:12" ht="78.75" x14ac:dyDescent="0.25">
      <c r="A5" s="22" t="s">
        <v>121</v>
      </c>
      <c r="B5" s="23" t="s">
        <v>122</v>
      </c>
      <c r="C5" s="24" t="s">
        <v>123</v>
      </c>
      <c r="D5" s="25" t="s">
        <v>124</v>
      </c>
      <c r="E5" s="23" t="s">
        <v>125</v>
      </c>
      <c r="F5" s="25" t="s">
        <v>11</v>
      </c>
      <c r="G5" s="25" t="s">
        <v>154</v>
      </c>
      <c r="H5" s="24" t="s">
        <v>126</v>
      </c>
      <c r="I5" s="24" t="s">
        <v>127</v>
      </c>
      <c r="J5" s="24" t="s">
        <v>128</v>
      </c>
      <c r="K5" s="26" t="s">
        <v>18</v>
      </c>
      <c r="L5" s="27" t="s">
        <v>129</v>
      </c>
    </row>
    <row r="6" spans="1:12" ht="19.5" x14ac:dyDescent="0.25">
      <c r="A6" s="28">
        <v>1</v>
      </c>
      <c r="B6" s="29" t="s">
        <v>130</v>
      </c>
      <c r="C6" s="30">
        <v>31</v>
      </c>
      <c r="D6" s="31"/>
      <c r="E6" s="32"/>
      <c r="F6" s="31"/>
      <c r="G6" s="31"/>
      <c r="H6" s="30"/>
      <c r="I6" s="31">
        <v>0</v>
      </c>
      <c r="J6" s="30">
        <v>0</v>
      </c>
      <c r="K6" s="33">
        <v>0</v>
      </c>
      <c r="L6" s="34">
        <v>0</v>
      </c>
    </row>
    <row r="7" spans="1:12" ht="19.5" x14ac:dyDescent="0.25">
      <c r="A7" s="35">
        <v>2</v>
      </c>
      <c r="B7" s="36" t="s">
        <v>131</v>
      </c>
      <c r="C7" s="30">
        <v>31</v>
      </c>
      <c r="D7" s="31"/>
      <c r="E7" s="32"/>
      <c r="F7" s="31"/>
      <c r="G7" s="31"/>
      <c r="H7" s="37"/>
      <c r="I7" s="38">
        <v>0</v>
      </c>
      <c r="J7" s="37">
        <v>0</v>
      </c>
      <c r="K7" s="39">
        <v>0</v>
      </c>
      <c r="L7" s="40">
        <v>0</v>
      </c>
    </row>
    <row r="8" spans="1:12" ht="19.5" x14ac:dyDescent="0.25">
      <c r="A8" s="28">
        <v>3</v>
      </c>
      <c r="B8" s="36" t="s">
        <v>132</v>
      </c>
      <c r="C8" s="30">
        <v>31</v>
      </c>
      <c r="D8" s="31">
        <f>Sheet1!G34</f>
        <v>3.3562500000000002</v>
      </c>
      <c r="E8" s="32" t="str">
        <f>Sheet1!G37</f>
        <v>10:53</v>
      </c>
      <c r="F8" s="31" t="str">
        <f>Sheet1!G36</f>
        <v>10:30</v>
      </c>
      <c r="G8" s="31">
        <f>Sheet1!G35</f>
        <v>1.5416666666666667</v>
      </c>
      <c r="H8" s="30">
        <v>0</v>
      </c>
      <c r="I8" s="38">
        <v>0</v>
      </c>
      <c r="J8" s="37">
        <v>0</v>
      </c>
      <c r="K8" s="39">
        <v>0</v>
      </c>
      <c r="L8" s="40">
        <v>0</v>
      </c>
    </row>
    <row r="9" spans="1:12" ht="19.5" x14ac:dyDescent="0.25">
      <c r="A9" s="35">
        <v>4</v>
      </c>
      <c r="B9" s="36" t="s">
        <v>133</v>
      </c>
      <c r="C9" s="30">
        <v>31</v>
      </c>
      <c r="D9" s="31"/>
      <c r="E9" s="32"/>
      <c r="F9" s="31"/>
      <c r="G9" s="31"/>
      <c r="H9" s="37"/>
      <c r="I9" s="38"/>
      <c r="J9" s="37">
        <v>0</v>
      </c>
      <c r="K9" s="39">
        <v>0</v>
      </c>
      <c r="L9" s="40">
        <v>0</v>
      </c>
    </row>
    <row r="10" spans="1:12" ht="19.5" x14ac:dyDescent="0.25">
      <c r="A10" s="28">
        <v>5</v>
      </c>
      <c r="B10" s="36" t="s">
        <v>134</v>
      </c>
      <c r="C10" s="30">
        <v>31</v>
      </c>
      <c r="D10" s="31"/>
      <c r="E10" s="32"/>
      <c r="F10" s="31"/>
      <c r="G10" s="31"/>
      <c r="H10" s="30"/>
      <c r="I10" s="38"/>
      <c r="J10" s="37">
        <v>0</v>
      </c>
      <c r="K10" s="39">
        <v>0</v>
      </c>
      <c r="L10" s="40">
        <v>0</v>
      </c>
    </row>
    <row r="11" spans="1:12" ht="19.5" x14ac:dyDescent="0.25">
      <c r="A11" s="35">
        <v>6</v>
      </c>
      <c r="B11" s="36" t="s">
        <v>135</v>
      </c>
      <c r="C11" s="30">
        <v>31</v>
      </c>
      <c r="D11" s="31"/>
      <c r="E11" s="32"/>
      <c r="F11" s="31"/>
      <c r="G11" s="31"/>
      <c r="H11" s="37"/>
      <c r="I11" s="38"/>
      <c r="J11" s="37">
        <v>0</v>
      </c>
      <c r="K11" s="39">
        <v>0</v>
      </c>
      <c r="L11" s="40">
        <v>0</v>
      </c>
    </row>
    <row r="12" spans="1:12" ht="19.5" x14ac:dyDescent="0.25">
      <c r="A12" s="28">
        <v>7</v>
      </c>
      <c r="B12" s="29" t="s">
        <v>136</v>
      </c>
      <c r="C12" s="30">
        <v>31</v>
      </c>
      <c r="D12" s="31"/>
      <c r="E12" s="32"/>
      <c r="F12" s="31"/>
      <c r="G12" s="31"/>
      <c r="H12" s="30"/>
      <c r="I12" s="38"/>
      <c r="J12" s="37">
        <v>0</v>
      </c>
      <c r="K12" s="39">
        <v>0</v>
      </c>
      <c r="L12" s="40">
        <v>0</v>
      </c>
    </row>
    <row r="13" spans="1:12" ht="19.5" x14ac:dyDescent="0.25">
      <c r="A13" s="35">
        <v>8</v>
      </c>
      <c r="B13" s="36" t="s">
        <v>137</v>
      </c>
      <c r="C13" s="30">
        <v>31</v>
      </c>
      <c r="D13" s="31"/>
      <c r="E13" s="32"/>
      <c r="F13" s="31"/>
      <c r="G13" s="31"/>
      <c r="H13" s="37"/>
      <c r="I13" s="38"/>
      <c r="J13" s="37">
        <v>0</v>
      </c>
      <c r="K13" s="39">
        <v>0</v>
      </c>
      <c r="L13" s="40">
        <v>0</v>
      </c>
    </row>
    <row r="14" spans="1:12" ht="19.5" x14ac:dyDescent="0.25">
      <c r="A14" s="28">
        <v>9</v>
      </c>
      <c r="B14" s="29" t="s">
        <v>138</v>
      </c>
      <c r="C14" s="30">
        <v>31</v>
      </c>
      <c r="D14" s="31"/>
      <c r="E14" s="32"/>
      <c r="F14" s="31"/>
      <c r="G14" s="31"/>
      <c r="H14" s="30"/>
      <c r="I14" s="38"/>
      <c r="J14" s="37">
        <v>0</v>
      </c>
      <c r="K14" s="39">
        <v>0</v>
      </c>
      <c r="L14" s="40">
        <v>0</v>
      </c>
    </row>
    <row r="15" spans="1:12" ht="19.5" x14ac:dyDescent="0.25">
      <c r="A15" s="35">
        <v>10</v>
      </c>
      <c r="B15" s="36" t="s">
        <v>139</v>
      </c>
      <c r="C15" s="30">
        <v>31</v>
      </c>
      <c r="D15" s="31"/>
      <c r="E15" s="32"/>
      <c r="F15" s="31"/>
      <c r="G15" s="31"/>
      <c r="H15" s="36"/>
      <c r="I15" s="41"/>
      <c r="J15" s="37">
        <v>0</v>
      </c>
      <c r="K15" s="39">
        <v>0</v>
      </c>
      <c r="L15" s="40">
        <v>0</v>
      </c>
    </row>
    <row r="16" spans="1:12" ht="19.5" x14ac:dyDescent="0.25">
      <c r="A16" s="28">
        <v>11</v>
      </c>
      <c r="B16" s="29" t="s">
        <v>140</v>
      </c>
      <c r="C16" s="30">
        <v>31</v>
      </c>
      <c r="D16" s="31"/>
      <c r="E16" s="32"/>
      <c r="F16" s="31"/>
      <c r="G16" s="31"/>
      <c r="H16" s="30"/>
      <c r="I16" s="38"/>
      <c r="J16" s="37">
        <v>0</v>
      </c>
      <c r="K16" s="39">
        <v>0</v>
      </c>
      <c r="L16" s="40">
        <v>0</v>
      </c>
    </row>
    <row r="17" spans="1:12" ht="19.5" x14ac:dyDescent="0.25">
      <c r="A17" s="35">
        <v>12</v>
      </c>
      <c r="B17" s="36" t="s">
        <v>141</v>
      </c>
      <c r="C17" s="30">
        <v>31</v>
      </c>
      <c r="D17" s="31"/>
      <c r="E17" s="32"/>
      <c r="F17" s="31"/>
      <c r="G17" s="31"/>
      <c r="H17" s="37"/>
      <c r="I17" s="38"/>
      <c r="J17" s="37">
        <v>0</v>
      </c>
      <c r="K17" s="39">
        <v>0</v>
      </c>
      <c r="L17" s="40">
        <v>0</v>
      </c>
    </row>
    <row r="18" spans="1:12" ht="19.5" x14ac:dyDescent="0.25">
      <c r="A18" s="35">
        <v>13</v>
      </c>
      <c r="B18" s="36" t="s">
        <v>142</v>
      </c>
      <c r="C18" s="30">
        <v>31</v>
      </c>
      <c r="D18" s="31"/>
      <c r="E18" s="32"/>
      <c r="F18" s="31"/>
      <c r="G18" s="31"/>
      <c r="H18" s="37"/>
      <c r="I18" s="38"/>
      <c r="J18" s="42">
        <v>0</v>
      </c>
      <c r="K18" s="37">
        <v>0</v>
      </c>
      <c r="L18" s="40">
        <v>0</v>
      </c>
    </row>
    <row r="19" spans="1:12" ht="19.5" x14ac:dyDescent="0.25">
      <c r="A19" s="28">
        <v>14</v>
      </c>
      <c r="B19" s="29" t="s">
        <v>143</v>
      </c>
      <c r="C19" s="30">
        <v>31</v>
      </c>
      <c r="D19" s="31"/>
      <c r="E19" s="32"/>
      <c r="F19" s="31"/>
      <c r="G19" s="31"/>
      <c r="H19" s="30"/>
      <c r="I19" s="38"/>
      <c r="J19" s="37">
        <v>0</v>
      </c>
      <c r="K19" s="39">
        <v>0</v>
      </c>
      <c r="L19" s="40">
        <v>0</v>
      </c>
    </row>
    <row r="20" spans="1:12" x14ac:dyDescent="0.25">
      <c r="A20" s="43"/>
      <c r="B20" s="44"/>
      <c r="C20" s="20"/>
      <c r="D20" s="45"/>
      <c r="E20" s="46"/>
      <c r="F20" s="45"/>
      <c r="G20" s="45"/>
      <c r="H20" s="20"/>
      <c r="I20" s="20"/>
      <c r="J20" s="20"/>
      <c r="K20" s="20"/>
      <c r="L20" s="47"/>
    </row>
    <row r="21" spans="1:12" x14ac:dyDescent="0.25">
      <c r="A21" s="43"/>
      <c r="B21" s="48"/>
      <c r="C21" s="20"/>
      <c r="D21" s="45"/>
      <c r="E21" s="46"/>
      <c r="F21" s="45"/>
      <c r="G21" s="45"/>
      <c r="H21" s="20"/>
      <c r="I21" s="20"/>
      <c r="J21" s="20"/>
      <c r="K21" s="20"/>
      <c r="L21" s="47"/>
    </row>
    <row r="22" spans="1:12" x14ac:dyDescent="0.25">
      <c r="A22" s="43"/>
      <c r="B22" s="49"/>
      <c r="C22" s="20"/>
      <c r="D22" s="45"/>
      <c r="E22" s="46"/>
      <c r="F22" s="45"/>
      <c r="G22" s="45"/>
      <c r="H22" s="20"/>
      <c r="I22" s="20"/>
      <c r="J22" s="20"/>
      <c r="K22" s="20"/>
      <c r="L22" s="47"/>
    </row>
    <row r="23" spans="1:12" x14ac:dyDescent="0.25">
      <c r="A23" s="43"/>
      <c r="B23" s="49"/>
      <c r="C23" s="20"/>
      <c r="D23" s="45"/>
      <c r="E23" s="46"/>
      <c r="F23" s="45"/>
      <c r="G23" s="45"/>
      <c r="H23" s="20"/>
      <c r="I23" s="20"/>
      <c r="J23" s="20"/>
      <c r="K23" s="20"/>
      <c r="L23" s="47"/>
    </row>
    <row r="24" spans="1:12" x14ac:dyDescent="0.25">
      <c r="A24" s="43"/>
      <c r="B24" s="49"/>
      <c r="C24" s="20"/>
      <c r="D24" s="45"/>
      <c r="E24" s="46"/>
      <c r="F24" s="45"/>
      <c r="G24" s="45"/>
      <c r="H24" s="20"/>
      <c r="I24" s="20"/>
      <c r="J24" s="20"/>
      <c r="K24" s="20"/>
      <c r="L24" s="47"/>
    </row>
    <row r="25" spans="1:12" x14ac:dyDescent="0.25">
      <c r="A25" s="43"/>
      <c r="B25" s="44"/>
      <c r="C25" s="20"/>
      <c r="D25" s="45"/>
      <c r="E25" s="46"/>
      <c r="F25" s="45"/>
      <c r="G25" s="45"/>
      <c r="H25" s="20"/>
      <c r="I25" s="20"/>
      <c r="J25" s="20"/>
      <c r="K25" s="20"/>
      <c r="L25" s="47"/>
    </row>
    <row r="26" spans="1:12" x14ac:dyDescent="0.25">
      <c r="A26" s="43"/>
      <c r="B26" s="44"/>
      <c r="C26" s="20"/>
      <c r="D26" s="45"/>
      <c r="E26" s="46"/>
      <c r="F26" s="45"/>
      <c r="G26" s="45"/>
      <c r="H26" s="20"/>
      <c r="I26" s="20"/>
      <c r="J26" s="20"/>
      <c r="K26" s="20"/>
      <c r="L26" s="47"/>
    </row>
    <row r="27" spans="1:12" x14ac:dyDescent="0.25">
      <c r="A27" s="43"/>
      <c r="B27" s="44"/>
      <c r="C27" s="20"/>
      <c r="D27" s="45"/>
      <c r="E27" s="46"/>
      <c r="F27" s="45"/>
      <c r="G27" s="45"/>
      <c r="H27" s="20"/>
      <c r="I27" s="20"/>
      <c r="J27" s="20"/>
      <c r="K27" s="20"/>
      <c r="L27" s="47"/>
    </row>
    <row r="28" spans="1:12" x14ac:dyDescent="0.25">
      <c r="A28" s="43"/>
      <c r="B28" s="44"/>
      <c r="C28" s="20"/>
      <c r="D28" s="45"/>
      <c r="E28" s="46"/>
      <c r="F28" s="45"/>
      <c r="G28" s="45"/>
      <c r="H28" s="20"/>
      <c r="I28" s="20"/>
      <c r="J28" s="20"/>
      <c r="K28" s="20"/>
      <c r="L28" s="47"/>
    </row>
    <row r="29" spans="1:12" x14ac:dyDescent="0.25">
      <c r="A29" s="43"/>
      <c r="B29" s="44"/>
      <c r="C29" s="20"/>
      <c r="D29" s="45"/>
      <c r="E29" s="46"/>
      <c r="F29" s="45"/>
      <c r="G29" s="45"/>
      <c r="H29" s="20"/>
      <c r="I29" s="20"/>
      <c r="J29" s="20"/>
      <c r="K29" s="20"/>
      <c r="L29" s="47"/>
    </row>
    <row r="30" spans="1:12" x14ac:dyDescent="0.25">
      <c r="A30" s="43"/>
      <c r="B30" s="44"/>
      <c r="C30" s="20"/>
      <c r="D30" s="45"/>
      <c r="E30" s="46"/>
      <c r="F30" s="45"/>
      <c r="G30" s="45"/>
      <c r="H30" s="20"/>
      <c r="I30" s="20"/>
      <c r="J30" s="20"/>
      <c r="K30" s="20"/>
      <c r="L30" s="47"/>
    </row>
    <row r="31" spans="1:12" ht="16.5" thickBot="1" x14ac:dyDescent="0.3">
      <c r="A31" s="43"/>
      <c r="B31" s="50"/>
      <c r="C31" s="20"/>
      <c r="D31" s="45"/>
      <c r="E31" s="46"/>
      <c r="F31" s="45"/>
      <c r="G31" s="45"/>
      <c r="H31" s="20"/>
      <c r="I31" s="20"/>
      <c r="J31" s="20"/>
      <c r="K31" s="20"/>
      <c r="L31" s="47"/>
    </row>
    <row r="32" spans="1:12" ht="21" x14ac:dyDescent="0.25">
      <c r="A32" s="51" t="s">
        <v>144</v>
      </c>
      <c r="B32" s="52"/>
      <c r="C32" s="52"/>
      <c r="D32" s="53"/>
      <c r="E32" s="52"/>
      <c r="F32" s="53"/>
      <c r="G32" s="53"/>
      <c r="H32" s="52"/>
      <c r="I32" s="52"/>
      <c r="J32" s="52"/>
      <c r="K32" s="52"/>
      <c r="L32" s="54"/>
    </row>
    <row r="33" spans="1:12" ht="19.5" x14ac:dyDescent="0.25">
      <c r="A33" s="72" t="s">
        <v>145</v>
      </c>
      <c r="B33" s="73"/>
      <c r="C33" s="73"/>
      <c r="D33" s="73" t="s">
        <v>146</v>
      </c>
      <c r="E33" s="73"/>
      <c r="F33" s="73"/>
      <c r="G33" s="73"/>
      <c r="H33" s="73"/>
      <c r="I33" s="74" t="s">
        <v>147</v>
      </c>
      <c r="J33" s="75"/>
      <c r="K33" s="75"/>
      <c r="L33" s="76"/>
    </row>
    <row r="34" spans="1:12" x14ac:dyDescent="0.25">
      <c r="A34" s="77" t="s">
        <v>148</v>
      </c>
      <c r="B34" s="59"/>
      <c r="C34" s="78"/>
      <c r="D34" s="58" t="s">
        <v>149</v>
      </c>
      <c r="E34" s="59"/>
      <c r="F34" s="59"/>
      <c r="G34" s="59"/>
      <c r="H34" s="78"/>
      <c r="I34" s="79" t="s">
        <v>150</v>
      </c>
      <c r="J34" s="80"/>
      <c r="K34" s="80"/>
      <c r="L34" s="81"/>
    </row>
    <row r="35" spans="1:12" x14ac:dyDescent="0.25">
      <c r="A35" s="55" t="s">
        <v>135</v>
      </c>
      <c r="B35" s="56"/>
      <c r="C35" s="56"/>
      <c r="D35" s="57" t="s">
        <v>151</v>
      </c>
      <c r="E35" s="57"/>
      <c r="F35" s="57"/>
      <c r="G35" s="57"/>
      <c r="H35" s="57"/>
      <c r="I35" s="58" t="s">
        <v>152</v>
      </c>
      <c r="J35" s="59"/>
      <c r="K35" s="59"/>
      <c r="L35" s="60"/>
    </row>
    <row r="36" spans="1:12" ht="16.5" thickBot="1" x14ac:dyDescent="0.3">
      <c r="A36" s="61" t="s">
        <v>153</v>
      </c>
      <c r="B36" s="62"/>
      <c r="C36" s="62"/>
      <c r="D36" s="62" t="s">
        <v>153</v>
      </c>
      <c r="E36" s="62"/>
      <c r="F36" s="62"/>
      <c r="G36" s="62"/>
      <c r="H36" s="62"/>
      <c r="I36" s="63" t="s">
        <v>153</v>
      </c>
      <c r="J36" s="64"/>
      <c r="K36" s="64"/>
      <c r="L36" s="65"/>
    </row>
  </sheetData>
  <mergeCells count="13">
    <mergeCell ref="A3:L4"/>
    <mergeCell ref="A33:C33"/>
    <mergeCell ref="D33:H33"/>
    <mergeCell ref="I33:L33"/>
    <mergeCell ref="A34:C34"/>
    <mergeCell ref="D34:H34"/>
    <mergeCell ref="I34:L34"/>
    <mergeCell ref="A35:C35"/>
    <mergeCell ref="D35:H35"/>
    <mergeCell ref="I35:L35"/>
    <mergeCell ref="A36:C36"/>
    <mergeCell ref="D36:H36"/>
    <mergeCell ref="I36:L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city</dc:creator>
  <cp:lastModifiedBy>pc city</cp:lastModifiedBy>
  <dcterms:created xsi:type="dcterms:W3CDTF">2026-05-11T12:33:43Z</dcterms:created>
  <dcterms:modified xsi:type="dcterms:W3CDTF">2026-05-11T13:57:05Z</dcterms:modified>
</cp:coreProperties>
</file>